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-LF-vs-HF/qPCR/"/>
    </mc:Choice>
  </mc:AlternateContent>
  <xr:revisionPtr revIDLastSave="244" documentId="8_{F16A8A5A-DC45-4C93-A9B5-58D6DCDD588F}" xr6:coauthVersionLast="47" xr6:coauthVersionMax="47" xr10:uidLastSave="{3BE718FA-AE5C-44D0-B7E4-0490494FDA06}"/>
  <bookViews>
    <workbookView xWindow="-120" yWindow="-120" windowWidth="29040" windowHeight="15840" activeTab="2" xr2:uid="{E5F79E3C-BF5D-471F-8E2D-88BDCC131A76}"/>
  </bookViews>
  <sheets>
    <sheet name="Sheet1" sheetId="1" r:id="rId1"/>
    <sheet name="Sheet2" sheetId="2" r:id="rId2"/>
    <sheet name="Average for 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2" l="1"/>
  <c r="W2" i="2"/>
  <c r="V3" i="2"/>
  <c r="W3" i="2"/>
  <c r="V4" i="2"/>
  <c r="W4" i="2"/>
  <c r="V5" i="2"/>
  <c r="W5" i="2"/>
  <c r="V6" i="2"/>
  <c r="W6" i="2"/>
  <c r="V7" i="2"/>
  <c r="W7" i="2"/>
  <c r="V8" i="2"/>
  <c r="W8" i="2"/>
  <c r="V9" i="2"/>
  <c r="W9" i="2"/>
  <c r="V10" i="2"/>
  <c r="W10" i="2"/>
  <c r="N2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S2" i="2" l="1"/>
  <c r="Q2" i="2"/>
  <c r="R2" i="2"/>
  <c r="Q3" i="2"/>
  <c r="R3" i="2"/>
  <c r="S3" i="2"/>
  <c r="Q4" i="2"/>
  <c r="R4" i="2"/>
  <c r="S4" i="2"/>
  <c r="Q5" i="2"/>
  <c r="R5" i="2"/>
  <c r="S5" i="2"/>
  <c r="Q6" i="2"/>
  <c r="R6" i="2"/>
  <c r="S6" i="2"/>
  <c r="Q7" i="2"/>
  <c r="R7" i="2"/>
  <c r="S7" i="2"/>
  <c r="Q8" i="2"/>
  <c r="R8" i="2"/>
  <c r="S8" i="2"/>
  <c r="Q9" i="2"/>
  <c r="R9" i="2"/>
  <c r="S9" i="2"/>
  <c r="Q10" i="2"/>
  <c r="R10" i="2"/>
  <c r="S10" i="2"/>
  <c r="O2" i="2" l="1"/>
  <c r="P2" i="2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N10" i="2"/>
  <c r="N9" i="2"/>
  <c r="N8" i="2"/>
  <c r="N7" i="2"/>
  <c r="N6" i="2"/>
  <c r="N5" i="2"/>
  <c r="N4" i="2"/>
  <c r="N3" i="2"/>
</calcChain>
</file>

<file path=xl/sharedStrings.xml><?xml version="1.0" encoding="utf-8"?>
<sst xmlns="http://schemas.openxmlformats.org/spreadsheetml/2006/main" count="53" uniqueCount="22">
  <si>
    <t>SampleID</t>
  </si>
  <si>
    <t>GABARAP</t>
  </si>
  <si>
    <t>FA</t>
  </si>
  <si>
    <t>LC</t>
  </si>
  <si>
    <t>SQSTM</t>
  </si>
  <si>
    <t>LC3</t>
  </si>
  <si>
    <t>SQSTM1/p62</t>
  </si>
  <si>
    <t>AGT5</t>
  </si>
  <si>
    <t>AGT7</t>
  </si>
  <si>
    <t>ATG10</t>
  </si>
  <si>
    <t>Well Position</t>
  </si>
  <si>
    <t>Comments</t>
  </si>
  <si>
    <t>Anomaly</t>
  </si>
  <si>
    <t>Outlier as too high? - Leave in</t>
  </si>
  <si>
    <t>MAPK8</t>
  </si>
  <si>
    <t>MAPK9</t>
  </si>
  <si>
    <t>NFKB1</t>
  </si>
  <si>
    <t>FOXO1</t>
  </si>
  <si>
    <t>SQSTM1</t>
  </si>
  <si>
    <t>ATG7</t>
  </si>
  <si>
    <t>ATG5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</si>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</sst>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0" fillId="3" borderId="1" xfId="0" applyFont="1" applyFill="1" applyBorder="1"/>
    <xf numFmtId="0" fontId="0" fillId="0" borderId="1" xfId="0" applyFont="1" applyBorder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3" borderId="0" xfId="0" applyFont="1" applyFill="1" applyBorder="1"/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2" fontId="0" fillId="0" borderId="0" xfId="0" applyNumberFormat="1"/>
    <xf numFmtId="0" fontId="2" fillId="2" borderId="0" xfId="0" applyFont="1" applyFill="1" applyBorder="1" applyAlignment="1">
      <alignment wrapText="1"/>
    </xf>
    <xf numFmtId="2" fontId="0" fillId="3" borderId="1" xfId="0" applyNumberFormat="1" applyFont="1" applyFill="1" applyBorder="1"/>
    <xf numFmtId="2" fontId="0" fillId="0" borderId="1" xfId="0" applyNumberFormat="1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02D4A-F14A-4505-A5BF-239CCF1904CA}" name="Table1" displayName="Table1" ref="A1:N28" totalsRowShown="0" headerRowDxfId="5">
  <autoFilter ref="A1:N28" xr:uid="{B0D02D4A-F14A-4505-A5BF-239CCF1904CA}"/>
  <sortState xmlns:xlrd2="http://schemas.microsoft.com/office/spreadsheetml/2017/richdata2" ref="A2:N28">
    <sortCondition ref="C1:C28"/>
  </sortState>
  <tableColumns count="14">
    <tableColumn id="1" xr3:uid="{CB125901-2BCB-4C11-8D30-708784586C39}" name="SampleID"/>
    <tableColumn id="9" xr3:uid="{3FDFA4F4-2BE6-487B-BC3F-2F378F4908DB}" name="Well Position"/>
    <tableColumn id="2" xr3:uid="{9410FA6A-F780-4F24-8981-34AE381302A2}" name="FA"/>
    <tableColumn id="3" xr3:uid="{6378D7C0-15CE-4018-AB06-31010A530C52}" name="LC" dataDxfId="4"/>
    <tableColumn id="4" xr3:uid="{836A5849-5341-4743-938E-5483D564B2EC}" name="GABARAP"/>
    <tableColumn id="5" xr3:uid="{DAB7F532-CC51-4DFB-9063-F03108C0960A}" name="SQSTM"/>
    <tableColumn id="6" xr3:uid="{EF8B35E1-2ED3-4773-A40F-0CFFDFE6E2D6}" name="AGT5"/>
    <tableColumn id="7" xr3:uid="{94790274-B147-4954-A6BE-13333388E57B}" name="AGT7"/>
    <tableColumn id="8" xr3:uid="{C2F86A26-AB38-45EA-A151-C4F646CAA97D}" name="ATG10"/>
    <tableColumn id="12" xr3:uid="{A74BB6DD-D599-4DCC-A0B7-8A85ABA025C1}" name="MAPK8"/>
    <tableColumn id="13" xr3:uid="{27181259-5823-4124-9382-3C4CB1C91200}" name="MAPK9"/>
    <tableColumn id="11" xr3:uid="{3A7DE5B5-8482-4560-8CEF-8756D8B4C60B}" name="NFKB1"/>
    <tableColumn id="14" xr3:uid="{18DF5299-958C-4AF5-A9A2-158C53FC75DF}" name="FOXO1"/>
    <tableColumn id="10" xr3:uid="{E66FFF04-4BEA-46B8-A422-A98553933761}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EB1794-150D-4D7F-AD39-D60D7BC48813}" name="Table2" displayName="Table2" ref="M1:W10" totalsRowShown="0" headerRowDxfId="3" headerRowBorderDxfId="2" tableBorderDxfId="1">
  <autoFilter ref="M1:W10" xr:uid="{1AEB1794-150D-4D7F-AD39-D60D7BC48813}"/>
  <tableColumns count="11">
    <tableColumn id="1" xr3:uid="{1B429B6A-013F-47FA-8F2F-630F99FA9D4C}" name="FA" dataDxfId="0"/>
    <tableColumn id="2" xr3:uid="{67998AF9-CD01-426C-BDE8-09DCD704A136}" name="LC3"/>
    <tableColumn id="3" xr3:uid="{1B69D3CF-B9EC-471C-A239-FE801EDCEFDF}" name="GABARAP"/>
    <tableColumn id="4" xr3:uid="{DB1ED6E7-FBE3-4686-B346-D124B4D2F181}" name="SQSTM1/p62"/>
    <tableColumn id="5" xr3:uid="{7465A737-45D7-4C5C-8B0D-D3F4E3378475}" name="AGT5"/>
    <tableColumn id="6" xr3:uid="{481445A7-44AA-4621-821C-CE609C7E29C8}" name="AGT7"/>
    <tableColumn id="7" xr3:uid="{6D4E9D18-C7A1-4D2C-9634-15FCD21990E8}" name="ATG10"/>
    <tableColumn id="8" xr3:uid="{90138EF3-B39E-4483-BA70-7E081945AA44}" name="MAPK8"/>
    <tableColumn id="9" xr3:uid="{98789A85-7B31-4ABA-B184-D6FB09634150}" name="MAPK9"/>
    <tableColumn id="10" xr3:uid="{65C66667-5463-4378-80EB-EBF53A577AFF}" name="NFKB1"/>
    <tableColumn id="11" xr3:uid="{73AA5362-E503-4B62-B72B-3C472799D29F}" name="FOXO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1F94-C20B-4FFF-9783-F72B8EC10AFB}">
  <dimension ref="A1:N28"/>
  <sheetViews>
    <sheetView workbookViewId="0">
      <selection activeCell="L1" sqref="L1:M28"/>
    </sheetView>
  </sheetViews>
  <sheetFormatPr defaultRowHeight="15" x14ac:dyDescent="0.25"/>
  <cols>
    <col min="1" max="2" width="11.5703125" customWidth="1"/>
    <col min="3" max="3" width="15.7109375" customWidth="1"/>
    <col min="4" max="4" width="24.7109375" customWidth="1"/>
    <col min="5" max="5" width="25.140625" customWidth="1"/>
    <col min="6" max="6" width="27.28515625" customWidth="1"/>
    <col min="14" max="14" width="27.5703125" customWidth="1"/>
  </cols>
  <sheetData>
    <row r="1" spans="1:14" s="1" customFormat="1" ht="30" x14ac:dyDescent="0.25">
      <c r="A1" s="1" t="s">
        <v>0</v>
      </c>
      <c r="B1" s="1" t="s">
        <v>10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7</v>
      </c>
      <c r="H1" s="1" t="s">
        <v>8</v>
      </c>
      <c r="I1" s="1" t="s">
        <v>9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11</v>
      </c>
    </row>
    <row r="2" spans="1:14" x14ac:dyDescent="0.25">
      <c r="A2">
        <v>0.1</v>
      </c>
      <c r="B2">
        <v>1</v>
      </c>
      <c r="C2">
        <v>0</v>
      </c>
      <c r="D2" s="9">
        <v>0.90648125451031836</v>
      </c>
      <c r="E2">
        <v>0.84607799532853201</v>
      </c>
      <c r="F2">
        <v>0.98640960790839305</v>
      </c>
      <c r="G2">
        <v>0.92361102760247293</v>
      </c>
      <c r="H2">
        <v>1.059215607041756</v>
      </c>
      <c r="I2">
        <v>1.0984297908832013</v>
      </c>
      <c r="J2">
        <v>1.0937902971250828</v>
      </c>
      <c r="K2">
        <v>1.2184225925963554</v>
      </c>
      <c r="L2">
        <v>0.96732492947273296</v>
      </c>
      <c r="M2">
        <v>0.92390130497251399</v>
      </c>
    </row>
    <row r="3" spans="1:14" x14ac:dyDescent="0.25">
      <c r="A3">
        <v>0.2</v>
      </c>
      <c r="B3">
        <v>2</v>
      </c>
      <c r="C3">
        <v>0</v>
      </c>
      <c r="D3" s="9">
        <v>1.0126045161404604</v>
      </c>
      <c r="E3">
        <v>0.64961373993449589</v>
      </c>
      <c r="F3">
        <v>1.1078135155532314</v>
      </c>
      <c r="G3">
        <v>0.82038496548159412</v>
      </c>
      <c r="H3">
        <v>0.914390063749285</v>
      </c>
      <c r="I3">
        <v>0.93516788514358939</v>
      </c>
      <c r="J3">
        <v>0.93654691012842461</v>
      </c>
      <c r="K3">
        <v>1.1318730412094806</v>
      </c>
      <c r="L3">
        <v>0.83863777707539811</v>
      </c>
      <c r="M3">
        <v>0.66103410411786445</v>
      </c>
    </row>
    <row r="4" spans="1:14" x14ac:dyDescent="0.25">
      <c r="A4">
        <v>0.3</v>
      </c>
      <c r="B4">
        <v>3</v>
      </c>
      <c r="C4">
        <v>0</v>
      </c>
      <c r="D4" s="9">
        <v>0.69893396659506746</v>
      </c>
      <c r="E4">
        <v>0.87872572077387934</v>
      </c>
      <c r="F4">
        <v>1.0966204172829701</v>
      </c>
      <c r="G4">
        <v>0.85923821398593381</v>
      </c>
      <c r="H4">
        <v>0.8959391868192722</v>
      </c>
      <c r="I4">
        <v>1.1647462276659162</v>
      </c>
      <c r="J4">
        <v>1.0298611128526023</v>
      </c>
      <c r="K4">
        <v>1.2160405036122401</v>
      </c>
      <c r="L4">
        <v>0.84819147188254596</v>
      </c>
      <c r="M4">
        <v>0.78353008944031077</v>
      </c>
    </row>
    <row r="5" spans="1:14" x14ac:dyDescent="0.25">
      <c r="A5">
        <v>0.4</v>
      </c>
      <c r="B5">
        <v>10</v>
      </c>
      <c r="C5">
        <v>0</v>
      </c>
      <c r="D5" s="9">
        <v>1.4768584380364729</v>
      </c>
      <c r="E5">
        <v>1.1268799004019474</v>
      </c>
      <c r="F5">
        <v>1.3580850326604188</v>
      </c>
      <c r="G5">
        <v>0.92796574096933626</v>
      </c>
      <c r="H5">
        <v>1.2090546288687203</v>
      </c>
      <c r="I5">
        <v>1.3603955954031766</v>
      </c>
      <c r="J5">
        <v>1.2337614580237439</v>
      </c>
      <c r="K5">
        <v>1.2645246012230276</v>
      </c>
      <c r="L5">
        <v>1.2034863181190143</v>
      </c>
      <c r="M5">
        <v>1.4855141395987985</v>
      </c>
    </row>
    <row r="6" spans="1:14" x14ac:dyDescent="0.25">
      <c r="A6">
        <v>0.5</v>
      </c>
      <c r="B6">
        <v>11</v>
      </c>
      <c r="C6">
        <v>0</v>
      </c>
      <c r="D6" s="9">
        <v>0.90879805027982286</v>
      </c>
      <c r="E6">
        <v>0.89976420573463101</v>
      </c>
      <c r="F6">
        <v>1.3482705516781399</v>
      </c>
      <c r="G6">
        <v>0.70705220506590494</v>
      </c>
      <c r="H6">
        <v>0.96947136365659514</v>
      </c>
      <c r="I6">
        <v>1.1795654746814404</v>
      </c>
      <c r="J6">
        <v>0.87056005042629669</v>
      </c>
      <c r="K6">
        <v>1.0977944190170668</v>
      </c>
      <c r="L6">
        <v>0.97366693485831823</v>
      </c>
      <c r="M6">
        <v>1.153641363059525</v>
      </c>
    </row>
    <row r="7" spans="1:14" x14ac:dyDescent="0.25">
      <c r="A7">
        <v>0.6</v>
      </c>
      <c r="B7">
        <v>12</v>
      </c>
      <c r="C7">
        <v>0</v>
      </c>
      <c r="D7" s="9">
        <v>0.88917011848566796</v>
      </c>
      <c r="E7">
        <v>1.0873587587497446</v>
      </c>
      <c r="F7">
        <v>1.2400667162196046</v>
      </c>
      <c r="G7">
        <v>0.56437484759348588</v>
      </c>
      <c r="H7">
        <v>0.67737389463173914</v>
      </c>
      <c r="I7">
        <v>1.0328240939777442</v>
      </c>
      <c r="J7">
        <v>0.74734966791680768</v>
      </c>
      <c r="K7">
        <v>0.99616701168186317</v>
      </c>
      <c r="L7">
        <v>0.71401871107672565</v>
      </c>
      <c r="M7">
        <v>1.1852185360802361</v>
      </c>
    </row>
    <row r="8" spans="1:14" x14ac:dyDescent="0.25">
      <c r="A8">
        <v>0.7</v>
      </c>
      <c r="B8">
        <v>13</v>
      </c>
      <c r="C8">
        <v>0</v>
      </c>
      <c r="D8" s="9"/>
      <c r="N8" t="s">
        <v>12</v>
      </c>
    </row>
    <row r="9" spans="1:14" x14ac:dyDescent="0.25">
      <c r="A9">
        <v>0.8</v>
      </c>
      <c r="B9">
        <v>14</v>
      </c>
      <c r="C9">
        <v>0</v>
      </c>
      <c r="D9" s="9">
        <v>1.4012160004131908</v>
      </c>
      <c r="E9">
        <v>1.3920634019402816</v>
      </c>
      <c r="F9">
        <v>2.2731916972987181</v>
      </c>
      <c r="G9">
        <v>0.85868177047495653</v>
      </c>
      <c r="H9">
        <v>1.3915606438916777</v>
      </c>
      <c r="I9">
        <v>1.4442199871941297</v>
      </c>
      <c r="J9">
        <v>1.4058952231913073</v>
      </c>
      <c r="K9">
        <v>1.5056903043717225</v>
      </c>
      <c r="L9">
        <v>1.4848279198431358</v>
      </c>
      <c r="M9">
        <v>1.4779706582248786</v>
      </c>
    </row>
    <row r="10" spans="1:14" x14ac:dyDescent="0.25">
      <c r="A10">
        <v>0.9</v>
      </c>
      <c r="B10">
        <v>15</v>
      </c>
      <c r="C10">
        <v>0</v>
      </c>
      <c r="D10" s="9">
        <v>1.7994924751421562</v>
      </c>
      <c r="E10">
        <v>1.3391237823997879</v>
      </c>
      <c r="F10">
        <v>1.9151641797014813</v>
      </c>
      <c r="G10">
        <v>1.1461486118820863</v>
      </c>
      <c r="H10">
        <v>1.3447135924569469</v>
      </c>
      <c r="I10">
        <v>1.5185395487925188</v>
      </c>
      <c r="J10">
        <v>1.2983464619600862</v>
      </c>
      <c r="K10">
        <v>1.6225776522205961</v>
      </c>
      <c r="L10">
        <v>1.4177538704961297</v>
      </c>
      <c r="M10">
        <v>1.4090248188196177</v>
      </c>
    </row>
    <row r="11" spans="1:14" x14ac:dyDescent="0.25">
      <c r="A11">
        <v>2.1</v>
      </c>
      <c r="B11">
        <v>4</v>
      </c>
      <c r="C11">
        <v>200</v>
      </c>
      <c r="D11" s="9">
        <v>0.76805437982043845</v>
      </c>
      <c r="E11">
        <v>0.85442474539858571</v>
      </c>
      <c r="F11">
        <v>1.0317076349586249</v>
      </c>
      <c r="G11">
        <v>0.96482481510166851</v>
      </c>
      <c r="H11">
        <v>0.92303703748863075</v>
      </c>
      <c r="I11">
        <v>1.0626009821431026</v>
      </c>
      <c r="J11">
        <v>0.87487318974955219</v>
      </c>
      <c r="K11">
        <v>1.174419688278233</v>
      </c>
      <c r="L11">
        <v>0.90472329066403123</v>
      </c>
      <c r="M11">
        <v>0.74792207795969545</v>
      </c>
    </row>
    <row r="12" spans="1:14" x14ac:dyDescent="0.25">
      <c r="A12">
        <v>2.2000000000000002</v>
      </c>
      <c r="B12">
        <v>5</v>
      </c>
      <c r="C12">
        <v>200</v>
      </c>
      <c r="D12" s="9">
        <v>0.56763954441837061</v>
      </c>
      <c r="E12">
        <v>0.75113516332395547</v>
      </c>
      <c r="F12">
        <v>0.88060956295449067</v>
      </c>
      <c r="G12">
        <v>0.62383293368079229</v>
      </c>
      <c r="H12">
        <v>0.90576613717578147</v>
      </c>
      <c r="I12">
        <v>0.98545724043947314</v>
      </c>
      <c r="J12">
        <v>0.74136672080549371</v>
      </c>
      <c r="K12">
        <v>0.95383189355504994</v>
      </c>
      <c r="L12">
        <v>0.65578059145564604</v>
      </c>
      <c r="M12">
        <v>0.8420520708937731</v>
      </c>
    </row>
    <row r="13" spans="1:14" x14ac:dyDescent="0.25">
      <c r="A13">
        <v>2.2999999999999998</v>
      </c>
      <c r="B13">
        <v>6</v>
      </c>
      <c r="C13">
        <v>200</v>
      </c>
      <c r="D13" s="9">
        <v>0.67852691614133687</v>
      </c>
      <c r="E13">
        <v>0.85651140130936154</v>
      </c>
      <c r="F13">
        <v>1.0081600001476383</v>
      </c>
      <c r="G13">
        <v>0.91563257107316753</v>
      </c>
      <c r="H13">
        <v>1.0435255921146758</v>
      </c>
      <c r="I13">
        <v>1.0975381678796305</v>
      </c>
      <c r="J13">
        <v>0.83937799162047411</v>
      </c>
      <c r="K13">
        <v>1.1895403069263988</v>
      </c>
      <c r="L13">
        <v>0.88806536580165085</v>
      </c>
      <c r="M13">
        <v>0.98631969624889959</v>
      </c>
    </row>
    <row r="14" spans="1:14" x14ac:dyDescent="0.25">
      <c r="A14">
        <v>2.4</v>
      </c>
      <c r="B14">
        <v>16</v>
      </c>
      <c r="C14">
        <v>200</v>
      </c>
      <c r="D14" s="9">
        <v>0.7644353701760056</v>
      </c>
      <c r="E14">
        <v>0.74323374856200786</v>
      </c>
      <c r="F14">
        <v>0.97872458505085003</v>
      </c>
      <c r="G14">
        <v>0.57507648973614489</v>
      </c>
      <c r="H14">
        <v>0.80427220626783646</v>
      </c>
      <c r="I14">
        <v>1.0223123317938798</v>
      </c>
      <c r="J14">
        <v>0.65921960914427569</v>
      </c>
      <c r="K14">
        <v>0.86214473997196395</v>
      </c>
      <c r="L14">
        <v>0.6312121209655901</v>
      </c>
      <c r="M14">
        <v>0.9865944123807171</v>
      </c>
    </row>
    <row r="15" spans="1:14" x14ac:dyDescent="0.25">
      <c r="A15">
        <v>2.5</v>
      </c>
      <c r="B15">
        <v>17</v>
      </c>
      <c r="C15">
        <v>200</v>
      </c>
      <c r="D15" s="9">
        <v>0.45255386086526384</v>
      </c>
      <c r="E15">
        <v>0.4853397919334706</v>
      </c>
      <c r="F15">
        <v>0.66025515200590867</v>
      </c>
      <c r="G15">
        <v>0.37063359998533396</v>
      </c>
      <c r="H15">
        <v>0.3958278284400002</v>
      </c>
      <c r="I15">
        <v>0.55343522771680065</v>
      </c>
      <c r="J15">
        <v>0.3669757156404746</v>
      </c>
      <c r="K15">
        <v>0.53923504777419817</v>
      </c>
      <c r="L15">
        <v>0.47404849559813345</v>
      </c>
      <c r="M15">
        <v>0.64491957658586707</v>
      </c>
      <c r="N15" t="s">
        <v>12</v>
      </c>
    </row>
    <row r="16" spans="1:14" x14ac:dyDescent="0.25">
      <c r="A16">
        <v>2.6</v>
      </c>
      <c r="B16">
        <v>18</v>
      </c>
      <c r="C16">
        <v>200</v>
      </c>
      <c r="D16" s="9">
        <v>0.97517720709278966</v>
      </c>
      <c r="E16">
        <v>0.93904017284505947</v>
      </c>
      <c r="F16">
        <v>0.97684237503140625</v>
      </c>
      <c r="G16">
        <v>0.59284293435673829</v>
      </c>
      <c r="H16">
        <v>0.90147163061222457</v>
      </c>
      <c r="I16">
        <v>1.0596177955719486</v>
      </c>
      <c r="J16">
        <v>0.74467533810741426</v>
      </c>
      <c r="K16">
        <v>1.0698303792089277</v>
      </c>
      <c r="L16">
        <v>0.87120402390987839</v>
      </c>
      <c r="M16">
        <v>1.168318946004876</v>
      </c>
    </row>
    <row r="17" spans="1:14" x14ac:dyDescent="0.25">
      <c r="A17">
        <v>2.7</v>
      </c>
      <c r="B17">
        <v>19</v>
      </c>
      <c r="C17">
        <v>200</v>
      </c>
      <c r="D17" s="9">
        <v>1.6285714782334668</v>
      </c>
      <c r="E17">
        <v>1.5811700710979033</v>
      </c>
      <c r="F17">
        <v>1.637101471750491</v>
      </c>
      <c r="G17">
        <v>1.3071373136868885</v>
      </c>
      <c r="H17">
        <v>1.6934758401596546</v>
      </c>
      <c r="I17">
        <v>2.1873225543877002</v>
      </c>
      <c r="J17">
        <v>1.4675729193568194</v>
      </c>
      <c r="K17">
        <v>2.1255775198836826</v>
      </c>
      <c r="L17">
        <v>1.7018541693936822</v>
      </c>
      <c r="M17">
        <v>1.5253251357394524</v>
      </c>
      <c r="N17" t="s">
        <v>13</v>
      </c>
    </row>
    <row r="18" spans="1:14" x14ac:dyDescent="0.25">
      <c r="A18">
        <v>2.8</v>
      </c>
      <c r="B18">
        <v>20</v>
      </c>
      <c r="C18">
        <v>200</v>
      </c>
      <c r="D18" s="9"/>
      <c r="N18" t="s">
        <v>12</v>
      </c>
    </row>
    <row r="19" spans="1:14" x14ac:dyDescent="0.25">
      <c r="A19">
        <v>2.9</v>
      </c>
      <c r="B19">
        <v>21</v>
      </c>
      <c r="C19">
        <v>200</v>
      </c>
      <c r="D19" s="9">
        <v>0.88141683748011457</v>
      </c>
      <c r="E19">
        <v>0.88951456182937205</v>
      </c>
      <c r="F19">
        <v>0.95224896613504906</v>
      </c>
      <c r="G19">
        <v>0.71000157880824877</v>
      </c>
      <c r="H19">
        <v>1.0100037875008161</v>
      </c>
      <c r="I19">
        <v>1.1167834811538138</v>
      </c>
      <c r="J19">
        <v>0.67366947751549899</v>
      </c>
      <c r="K19">
        <v>0.94326607705556487</v>
      </c>
      <c r="L19">
        <v>0.9027078696483164</v>
      </c>
      <c r="M19">
        <v>0.79078088431113136</v>
      </c>
    </row>
    <row r="20" spans="1:14" x14ac:dyDescent="0.25">
      <c r="A20">
        <v>8.1</v>
      </c>
      <c r="B20">
        <v>7</v>
      </c>
      <c r="C20">
        <v>800</v>
      </c>
      <c r="D20" s="9">
        <v>0.6380793894949921</v>
      </c>
      <c r="E20">
        <v>0.84280573515980739</v>
      </c>
      <c r="F20">
        <v>0.97233324395184151</v>
      </c>
      <c r="G20">
        <v>0.68009384531107497</v>
      </c>
      <c r="H20">
        <v>0.92346688083156747</v>
      </c>
      <c r="I20">
        <v>1.03513865879581</v>
      </c>
      <c r="J20">
        <v>0.77831330572554658</v>
      </c>
      <c r="K20">
        <v>0.91348008007523163</v>
      </c>
      <c r="L20">
        <v>0.82716165702601963</v>
      </c>
      <c r="M20">
        <v>0.75382764790821577</v>
      </c>
    </row>
    <row r="21" spans="1:14" x14ac:dyDescent="0.25">
      <c r="A21">
        <v>8.1999999999999993</v>
      </c>
      <c r="B21">
        <v>8</v>
      </c>
      <c r="C21">
        <v>800</v>
      </c>
      <c r="D21" s="9">
        <v>0.56912141921962089</v>
      </c>
      <c r="E21">
        <v>0.77145172790451277</v>
      </c>
      <c r="F21">
        <v>0.91740076184782726</v>
      </c>
      <c r="G21">
        <v>0.63761376456266317</v>
      </c>
      <c r="H21">
        <v>0.8631337677763653</v>
      </c>
      <c r="I21">
        <v>0.97168334974105086</v>
      </c>
      <c r="J21">
        <v>0.77372889462873429</v>
      </c>
      <c r="K21">
        <v>0.99612789395261492</v>
      </c>
      <c r="L21">
        <v>0.74255031134239691</v>
      </c>
      <c r="M21">
        <v>0.66093793682053292</v>
      </c>
    </row>
    <row r="22" spans="1:14" x14ac:dyDescent="0.25">
      <c r="A22">
        <v>8.3000000000000007</v>
      </c>
      <c r="B22">
        <v>9</v>
      </c>
      <c r="C22">
        <v>800</v>
      </c>
      <c r="D22" s="9">
        <v>1.1000238356727512</v>
      </c>
      <c r="E22">
        <v>0.80098659933561811</v>
      </c>
      <c r="F22">
        <v>1.1946744777574472</v>
      </c>
      <c r="G22">
        <v>1.0181557261617771</v>
      </c>
      <c r="H22">
        <v>1.0437883125168741</v>
      </c>
      <c r="I22">
        <v>1.1154349517793831</v>
      </c>
      <c r="J22">
        <v>1.0906783844702141</v>
      </c>
      <c r="K22">
        <v>1.2439531637158732</v>
      </c>
      <c r="L22">
        <v>0.89123864820349197</v>
      </c>
      <c r="M22">
        <v>0.7112201383839869</v>
      </c>
    </row>
    <row r="23" spans="1:14" x14ac:dyDescent="0.25">
      <c r="A23">
        <v>8.4</v>
      </c>
      <c r="B23">
        <v>22</v>
      </c>
      <c r="C23">
        <v>800</v>
      </c>
      <c r="D23" s="9"/>
      <c r="N23" t="s">
        <v>12</v>
      </c>
    </row>
    <row r="24" spans="1:14" x14ac:dyDescent="0.25">
      <c r="A24">
        <v>8.5</v>
      </c>
      <c r="B24">
        <v>23</v>
      </c>
      <c r="C24">
        <v>800</v>
      </c>
      <c r="D24" s="9">
        <v>1.1400124789316775</v>
      </c>
      <c r="E24">
        <v>1.0449214943556504</v>
      </c>
      <c r="F24">
        <v>1.351295849570278</v>
      </c>
      <c r="G24">
        <v>0.79234666071006443</v>
      </c>
      <c r="H24">
        <v>1.0246685931039548</v>
      </c>
      <c r="I24">
        <v>1.3412720945670027</v>
      </c>
      <c r="J24">
        <v>0.89169597275030632</v>
      </c>
      <c r="K24">
        <v>0.94691766859645732</v>
      </c>
      <c r="L24">
        <v>0.95456153805808008</v>
      </c>
      <c r="M24">
        <v>1.1936678916692347</v>
      </c>
    </row>
    <row r="25" spans="1:14" x14ac:dyDescent="0.25">
      <c r="A25">
        <v>8.6</v>
      </c>
      <c r="B25">
        <v>24</v>
      </c>
      <c r="C25">
        <v>800</v>
      </c>
      <c r="D25" s="9">
        <v>0.95630286594520675</v>
      </c>
      <c r="E25">
        <v>1.2035603098142718</v>
      </c>
      <c r="F25">
        <v>1.4584958581810594</v>
      </c>
      <c r="G25">
        <v>0.86732789678519284</v>
      </c>
      <c r="H25">
        <v>1.1386348565680211</v>
      </c>
      <c r="I25">
        <v>1.6372481108792829</v>
      </c>
      <c r="J25">
        <v>0.97015535356045757</v>
      </c>
      <c r="K25">
        <v>1.1089085052428627</v>
      </c>
      <c r="L25">
        <v>1.0028995234980016</v>
      </c>
      <c r="M25">
        <v>1.4616028661754235</v>
      </c>
    </row>
    <row r="26" spans="1:14" x14ac:dyDescent="0.25">
      <c r="A26">
        <v>8.6999999999999993</v>
      </c>
      <c r="B26">
        <v>25</v>
      </c>
      <c r="C26">
        <v>800</v>
      </c>
      <c r="D26" s="9">
        <v>0.62937398161795755</v>
      </c>
      <c r="E26">
        <v>0.99062622359297925</v>
      </c>
      <c r="F26">
        <v>1.2839809185674989</v>
      </c>
      <c r="G26">
        <v>0.82523353281007572</v>
      </c>
      <c r="H26">
        <v>1.1659478980900246</v>
      </c>
      <c r="I26">
        <v>1.5701601754053001</v>
      </c>
      <c r="J26">
        <v>0.95493746142088132</v>
      </c>
      <c r="K26">
        <v>1.1423101367601578</v>
      </c>
      <c r="L26">
        <v>0.98446538611472212</v>
      </c>
      <c r="M26">
        <v>1.0057568605118614</v>
      </c>
    </row>
    <row r="27" spans="1:14" x14ac:dyDescent="0.25">
      <c r="A27">
        <v>8.8000000000000007</v>
      </c>
      <c r="B27">
        <v>26</v>
      </c>
      <c r="C27">
        <v>800</v>
      </c>
      <c r="D27" s="9">
        <v>0.86161664449946862</v>
      </c>
      <c r="E27">
        <v>1.2230401471396808</v>
      </c>
      <c r="F27">
        <v>1.4214914276053574</v>
      </c>
      <c r="G27">
        <v>0.77842805067695831</v>
      </c>
      <c r="H27">
        <v>1.3418551871334503</v>
      </c>
      <c r="I27">
        <v>1.832152603431074</v>
      </c>
      <c r="J27">
        <v>1.1399312203275707</v>
      </c>
      <c r="K27">
        <v>1.1347139113526594</v>
      </c>
      <c r="L27">
        <v>1.2023199464049927</v>
      </c>
      <c r="M27">
        <v>1.1644990176253291</v>
      </c>
    </row>
    <row r="28" spans="1:14" x14ac:dyDescent="0.25">
      <c r="A28">
        <v>8.9</v>
      </c>
      <c r="B28">
        <v>27</v>
      </c>
      <c r="C28">
        <v>800</v>
      </c>
      <c r="D28" s="9">
        <v>0.50551021106784388</v>
      </c>
      <c r="E28">
        <v>0.91850455286286969</v>
      </c>
      <c r="F28">
        <v>1.0329870692244407</v>
      </c>
      <c r="G28">
        <v>0.6198303565021267</v>
      </c>
      <c r="H28">
        <v>0.93419410309329465</v>
      </c>
      <c r="I28">
        <v>1.412836522220775</v>
      </c>
      <c r="J28">
        <v>0.80456731504998635</v>
      </c>
      <c r="K28">
        <v>0.79256596729640072</v>
      </c>
      <c r="L28">
        <v>0.92528170523839393</v>
      </c>
      <c r="M28">
        <v>0.74257465311179893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FC81-1477-4E5A-88EB-B18BFF23CD3D}">
  <dimension ref="A1:W28"/>
  <sheetViews>
    <sheetView workbookViewId="0">
      <selection activeCell="N13" sqref="N13"/>
    </sheetView>
  </sheetViews>
  <sheetFormatPr defaultRowHeight="15" x14ac:dyDescent="0.25"/>
  <cols>
    <col min="3" max="11" width="14.42578125" customWidth="1"/>
    <col min="15" max="15" width="11.85546875" customWidth="1"/>
    <col min="16" max="16" width="14.42578125" customWidth="1"/>
  </cols>
  <sheetData>
    <row r="1" spans="1:23" x14ac:dyDescent="0.25">
      <c r="A1" s="4" t="s">
        <v>2</v>
      </c>
      <c r="B1" s="4" t="s">
        <v>5</v>
      </c>
      <c r="C1" s="4" t="s">
        <v>1</v>
      </c>
      <c r="D1" s="5" t="s">
        <v>6</v>
      </c>
      <c r="E1" s="4" t="s">
        <v>7</v>
      </c>
      <c r="F1" s="4" t="s">
        <v>8</v>
      </c>
      <c r="G1" s="5" t="s">
        <v>9</v>
      </c>
      <c r="H1" s="10" t="s">
        <v>14</v>
      </c>
      <c r="I1" s="10" t="s">
        <v>15</v>
      </c>
      <c r="J1" s="4" t="s">
        <v>16</v>
      </c>
      <c r="K1" s="4" t="s">
        <v>17</v>
      </c>
      <c r="M1" s="7" t="s">
        <v>2</v>
      </c>
      <c r="N1" s="7" t="s">
        <v>5</v>
      </c>
      <c r="O1" s="7" t="s">
        <v>1</v>
      </c>
      <c r="P1" s="8" t="s">
        <v>6</v>
      </c>
      <c r="Q1" s="4" t="s">
        <v>7</v>
      </c>
      <c r="R1" s="4" t="s">
        <v>8</v>
      </c>
      <c r="S1" s="5" t="s">
        <v>9</v>
      </c>
      <c r="T1" s="7" t="s">
        <v>14</v>
      </c>
      <c r="U1" s="7" t="s">
        <v>15</v>
      </c>
      <c r="V1" s="7" t="s">
        <v>16</v>
      </c>
      <c r="W1" s="7" t="s">
        <v>17</v>
      </c>
    </row>
    <row r="2" spans="1:23" x14ac:dyDescent="0.25">
      <c r="A2" s="2">
        <v>0</v>
      </c>
      <c r="B2" s="11">
        <v>0.90648125451031836</v>
      </c>
      <c r="C2" s="2">
        <v>0.84607799532853201</v>
      </c>
      <c r="D2" s="2">
        <v>0.98640960790839305</v>
      </c>
      <c r="E2" s="2">
        <v>0.92361102760247293</v>
      </c>
      <c r="F2" s="2">
        <v>1.059215607041756</v>
      </c>
      <c r="G2" s="2">
        <v>1.0984297908832013</v>
      </c>
      <c r="H2" s="2">
        <v>1.0937902971250828</v>
      </c>
      <c r="I2" s="2">
        <v>1.2184225925963554</v>
      </c>
      <c r="J2" s="2">
        <v>0.96732492947273296</v>
      </c>
      <c r="K2" s="2">
        <v>0.92390130497251399</v>
      </c>
      <c r="M2" s="6">
        <v>0</v>
      </c>
      <c r="N2" s="9">
        <f>AVERAGE(B2:B4)</f>
        <v>0.87267324574861538</v>
      </c>
      <c r="O2">
        <f t="shared" ref="O2:P2" si="0">AVERAGE(C2:C4)</f>
        <v>0.79147248534563575</v>
      </c>
      <c r="P2">
        <f t="shared" si="0"/>
        <v>1.0636145135815316</v>
      </c>
      <c r="Q2">
        <f t="shared" ref="Q2" si="1">AVERAGE(E2:E4)</f>
        <v>0.86774473569000021</v>
      </c>
      <c r="R2">
        <f t="shared" ref="R2" si="2">AVERAGE(F2:F4)</f>
        <v>0.9565149525367711</v>
      </c>
      <c r="S2">
        <f t="shared" ref="S2" si="3">AVERAGE(G2:G4)</f>
        <v>1.0661146345642356</v>
      </c>
      <c r="T2">
        <f t="shared" ref="T2" si="4">AVERAGE(H2:H4)</f>
        <v>1.0200661067020367</v>
      </c>
      <c r="U2">
        <f t="shared" ref="U2" si="5">AVERAGE(I2:I4)</f>
        <v>1.1887787124726923</v>
      </c>
      <c r="V2">
        <f t="shared" ref="V2" si="6">AVERAGE(J2:J4)</f>
        <v>0.8847180594768923</v>
      </c>
      <c r="W2">
        <f t="shared" ref="W2" si="7">AVERAGE(K2:K4)</f>
        <v>0.7894884995102297</v>
      </c>
    </row>
    <row r="3" spans="1:23" x14ac:dyDescent="0.25">
      <c r="A3" s="3">
        <v>0</v>
      </c>
      <c r="B3" s="12">
        <v>1.0126045161404604</v>
      </c>
      <c r="C3" s="3">
        <v>0.64961373993449589</v>
      </c>
      <c r="D3" s="3">
        <v>1.1078135155532314</v>
      </c>
      <c r="E3" s="3">
        <v>0.82038496548159412</v>
      </c>
      <c r="F3" s="3">
        <v>0.914390063749285</v>
      </c>
      <c r="G3" s="3">
        <v>0.93516788514358939</v>
      </c>
      <c r="H3" s="3">
        <v>0.93654691012842461</v>
      </c>
      <c r="I3" s="3">
        <v>1.1318730412094806</v>
      </c>
      <c r="J3" s="3">
        <v>0.83863777707539811</v>
      </c>
      <c r="K3" s="3">
        <v>0.66103410411786445</v>
      </c>
      <c r="M3">
        <v>0</v>
      </c>
      <c r="N3">
        <f>AVERAGE(B5:B7)</f>
        <v>1.091608868933988</v>
      </c>
      <c r="O3">
        <f t="shared" ref="O3:P3" si="8">AVERAGE(C5:C7)</f>
        <v>1.0380009549621076</v>
      </c>
      <c r="P3">
        <f t="shared" si="8"/>
        <v>1.3154741001860544</v>
      </c>
      <c r="Q3">
        <f t="shared" ref="Q3" si="9">AVERAGE(E5:E7)</f>
        <v>0.73313093120957573</v>
      </c>
      <c r="R3">
        <f t="shared" ref="R3" si="10">AVERAGE(F5:F7)</f>
        <v>0.95196662905235152</v>
      </c>
      <c r="S3">
        <f t="shared" ref="S3" si="11">AVERAGE(G5:G7)</f>
        <v>1.1909283880207873</v>
      </c>
      <c r="T3">
        <f t="shared" ref="T3" si="12">AVERAGE(H5:H7)</f>
        <v>0.95055705878894958</v>
      </c>
      <c r="U3">
        <f t="shared" ref="U3" si="13">AVERAGE(I5:I7)</f>
        <v>1.1194953439739859</v>
      </c>
      <c r="V3">
        <f t="shared" ref="V3" si="14">AVERAGE(J5:J7)</f>
        <v>0.9637239880180194</v>
      </c>
      <c r="W3">
        <f t="shared" ref="W3" si="15">AVERAGE(K5:K7)</f>
        <v>1.2747913462461866</v>
      </c>
    </row>
    <row r="4" spans="1:23" x14ac:dyDescent="0.25">
      <c r="A4" s="2">
        <v>0</v>
      </c>
      <c r="B4" s="11">
        <v>0.69893396659506746</v>
      </c>
      <c r="C4" s="2">
        <v>0.87872572077387934</v>
      </c>
      <c r="D4" s="2">
        <v>1.0966204172829701</v>
      </c>
      <c r="E4" s="2">
        <v>0.85923821398593381</v>
      </c>
      <c r="F4" s="2">
        <v>0.8959391868192722</v>
      </c>
      <c r="G4" s="2">
        <v>1.1647462276659162</v>
      </c>
      <c r="H4" s="2">
        <v>1.0298611128526023</v>
      </c>
      <c r="I4" s="2">
        <v>1.2160405036122401</v>
      </c>
      <c r="J4" s="2">
        <v>0.84819147188254596</v>
      </c>
      <c r="K4" s="2">
        <v>0.78353008944031077</v>
      </c>
      <c r="M4" s="6">
        <v>0</v>
      </c>
      <c r="N4">
        <f>AVERAGE(B8:B10)</f>
        <v>1.6003542377776734</v>
      </c>
      <c r="O4">
        <f t="shared" ref="O4:P4" si="16">AVERAGE(C8:C10)</f>
        <v>1.3655935921700348</v>
      </c>
      <c r="P4">
        <f t="shared" si="16"/>
        <v>2.0941779385000996</v>
      </c>
      <c r="Q4">
        <f t="shared" ref="Q4" si="17">AVERAGE(E8:E10)</f>
        <v>1.0024151911785215</v>
      </c>
      <c r="R4">
        <f t="shared" ref="R4" si="18">AVERAGE(F8:F10)</f>
        <v>1.3681371181743123</v>
      </c>
      <c r="S4">
        <f t="shared" ref="S4" si="19">AVERAGE(G8:G10)</f>
        <v>1.4813797679933243</v>
      </c>
      <c r="T4">
        <f t="shared" ref="T4" si="20">AVERAGE(H8:H10)</f>
        <v>1.3521208425756968</v>
      </c>
      <c r="U4">
        <f t="shared" ref="U4" si="21">AVERAGE(I8:I10)</f>
        <v>1.5641339782961592</v>
      </c>
      <c r="V4">
        <f t="shared" ref="V4" si="22">AVERAGE(J8:J10)</f>
        <v>1.4512908951696328</v>
      </c>
      <c r="W4">
        <f t="shared" ref="W4" si="23">AVERAGE(K8:K10)</f>
        <v>1.4434977385222481</v>
      </c>
    </row>
    <row r="5" spans="1:23" x14ac:dyDescent="0.25">
      <c r="A5" s="3">
        <v>0</v>
      </c>
      <c r="B5" s="12">
        <v>1.4768584380364729</v>
      </c>
      <c r="C5" s="3">
        <v>1.1268799004019474</v>
      </c>
      <c r="D5" s="3">
        <v>1.3580850326604188</v>
      </c>
      <c r="E5" s="3">
        <v>0.92796574096933626</v>
      </c>
      <c r="F5" s="3">
        <v>1.2090546288687203</v>
      </c>
      <c r="G5" s="3">
        <v>1.3603955954031766</v>
      </c>
      <c r="H5" s="3">
        <v>1.2337614580237439</v>
      </c>
      <c r="I5" s="3">
        <v>1.2645246012230276</v>
      </c>
      <c r="J5" s="3">
        <v>1.2034863181190143</v>
      </c>
      <c r="K5" s="3">
        <v>1.4855141395987985</v>
      </c>
      <c r="M5">
        <v>200</v>
      </c>
      <c r="N5">
        <f>AVERAGE(B11:B13)</f>
        <v>0.67140694679338198</v>
      </c>
      <c r="O5">
        <f t="shared" ref="O5:P5" si="24">AVERAGE(C11:C13)</f>
        <v>0.82069043667730091</v>
      </c>
      <c r="P5">
        <f t="shared" si="24"/>
        <v>0.97349239935358456</v>
      </c>
      <c r="Q5">
        <f t="shared" ref="Q5" si="25">AVERAGE(E11:E13)</f>
        <v>0.83476343995187607</v>
      </c>
      <c r="R5">
        <f t="shared" ref="R5" si="26">AVERAGE(F11:F13)</f>
        <v>0.95744292225969596</v>
      </c>
      <c r="S5">
        <f t="shared" ref="S5" si="27">AVERAGE(G11:G13)</f>
        <v>1.0485321301540687</v>
      </c>
      <c r="T5">
        <f t="shared" ref="T5" si="28">AVERAGE(H11:H13)</f>
        <v>0.81853930072517322</v>
      </c>
      <c r="U5">
        <f t="shared" ref="U5" si="29">AVERAGE(I11:I13)</f>
        <v>1.1059306295865605</v>
      </c>
      <c r="V5">
        <f t="shared" ref="V5" si="30">AVERAGE(J11:J13)</f>
        <v>0.8161897493071093</v>
      </c>
      <c r="W5">
        <f t="shared" ref="W5" si="31">AVERAGE(K11:K13)</f>
        <v>0.85876461503412271</v>
      </c>
    </row>
    <row r="6" spans="1:23" x14ac:dyDescent="0.25">
      <c r="A6" s="2">
        <v>0</v>
      </c>
      <c r="B6" s="11">
        <v>0.90879805027982286</v>
      </c>
      <c r="C6" s="2">
        <v>0.89976420573463101</v>
      </c>
      <c r="D6" s="2">
        <v>1.3482705516781399</v>
      </c>
      <c r="E6" s="2">
        <v>0.70705220506590494</v>
      </c>
      <c r="F6" s="2">
        <v>0.96947136365659514</v>
      </c>
      <c r="G6" s="2">
        <v>1.1795654746814404</v>
      </c>
      <c r="H6" s="2">
        <v>0.87056005042629669</v>
      </c>
      <c r="I6" s="2">
        <v>1.0977944190170668</v>
      </c>
      <c r="J6" s="2">
        <v>0.97366693485831823</v>
      </c>
      <c r="K6" s="2">
        <v>1.153641363059525</v>
      </c>
      <c r="M6" s="6">
        <v>200</v>
      </c>
      <c r="N6">
        <f>AVERAGE(B14:B16)</f>
        <v>0.73072214604468633</v>
      </c>
      <c r="O6">
        <f t="shared" ref="O6:P6" si="32">AVERAGE(C14:C16)</f>
        <v>0.72253790444684596</v>
      </c>
      <c r="P6">
        <f t="shared" si="32"/>
        <v>0.87194070402938839</v>
      </c>
      <c r="Q6">
        <f t="shared" ref="Q6" si="33">AVERAGE(E14:E16)</f>
        <v>0.51285100802607231</v>
      </c>
      <c r="R6">
        <f t="shared" ref="R6" si="34">AVERAGE(F14:F16)</f>
        <v>0.70052388844002034</v>
      </c>
      <c r="S6">
        <f t="shared" ref="S6" si="35">AVERAGE(G14:G16)</f>
        <v>0.87845511836087642</v>
      </c>
      <c r="T6">
        <f t="shared" ref="T6" si="36">AVERAGE(H14:H16)</f>
        <v>0.59029022096405481</v>
      </c>
      <c r="U6">
        <f t="shared" ref="U6" si="37">AVERAGE(I14:I16)</f>
        <v>0.82373672231836326</v>
      </c>
      <c r="V6">
        <f t="shared" ref="V6" si="38">AVERAGE(J14:J16)</f>
        <v>0.65882154682453398</v>
      </c>
      <c r="W6">
        <f t="shared" ref="W6" si="39">AVERAGE(K14:K16)</f>
        <v>0.93327764499048671</v>
      </c>
    </row>
    <row r="7" spans="1:23" x14ac:dyDescent="0.25">
      <c r="A7" s="3">
        <v>0</v>
      </c>
      <c r="B7" s="12">
        <v>0.88917011848566796</v>
      </c>
      <c r="C7" s="3">
        <v>1.0873587587497446</v>
      </c>
      <c r="D7" s="3">
        <v>1.2400667162196046</v>
      </c>
      <c r="E7" s="3">
        <v>0.56437484759348588</v>
      </c>
      <c r="F7" s="3">
        <v>0.67737389463173914</v>
      </c>
      <c r="G7" s="3">
        <v>1.0328240939777442</v>
      </c>
      <c r="H7" s="3">
        <v>0.74734966791680768</v>
      </c>
      <c r="I7" s="3">
        <v>0.99616701168186317</v>
      </c>
      <c r="J7" s="3">
        <v>0.71401871107672565</v>
      </c>
      <c r="K7" s="3">
        <v>1.1852185360802361</v>
      </c>
      <c r="M7">
        <v>200</v>
      </c>
      <c r="N7">
        <f>AVERAGE(B17:B19)</f>
        <v>1.2549941578567907</v>
      </c>
      <c r="O7">
        <f t="shared" ref="O7:P7" si="40">AVERAGE(C17:C19)</f>
        <v>1.2353423164636377</v>
      </c>
      <c r="P7">
        <f t="shared" si="40"/>
        <v>1.2946752189427699</v>
      </c>
      <c r="Q7">
        <f t="shared" ref="Q7" si="41">AVERAGE(E17:E19)</f>
        <v>1.0085694462475687</v>
      </c>
      <c r="R7">
        <f t="shared" ref="R7" si="42">AVERAGE(F17:F19)</f>
        <v>1.3517398138302354</v>
      </c>
      <c r="S7">
        <f t="shared" ref="S7" si="43">AVERAGE(G17:G19)</f>
        <v>1.6520530177707569</v>
      </c>
      <c r="T7">
        <f t="shared" ref="T7" si="44">AVERAGE(H17:H19)</f>
        <v>1.0706211984361591</v>
      </c>
      <c r="U7">
        <f t="shared" ref="U7" si="45">AVERAGE(I17:I19)</f>
        <v>1.5344217984696238</v>
      </c>
      <c r="V7">
        <f t="shared" ref="V7" si="46">AVERAGE(J17:J19)</f>
        <v>1.3022810195209993</v>
      </c>
      <c r="W7">
        <f t="shared" ref="W7" si="47">AVERAGE(K17:K19)</f>
        <v>1.1580530100252919</v>
      </c>
    </row>
    <row r="8" spans="1:23" x14ac:dyDescent="0.25">
      <c r="A8" s="2">
        <v>0</v>
      </c>
      <c r="B8" s="11"/>
      <c r="C8" s="2"/>
      <c r="D8" s="2"/>
      <c r="E8" s="2"/>
      <c r="F8" s="2"/>
      <c r="G8" s="2"/>
      <c r="H8" s="2"/>
      <c r="I8" s="2"/>
      <c r="J8" s="2"/>
      <c r="K8" s="2"/>
      <c r="M8" s="6">
        <v>800</v>
      </c>
      <c r="N8">
        <f>AVERAGE(B20:B22)</f>
        <v>0.76907488146245473</v>
      </c>
      <c r="O8">
        <f t="shared" ref="O8:P8" si="48">AVERAGE(C20:C22)</f>
        <v>0.80508135413331272</v>
      </c>
      <c r="P8">
        <f t="shared" si="48"/>
        <v>1.0281361611857054</v>
      </c>
      <c r="Q8">
        <f t="shared" ref="Q8" si="49">AVERAGE(E20:E22)</f>
        <v>0.77862111201183837</v>
      </c>
      <c r="R8">
        <f t="shared" ref="R8" si="50">AVERAGE(F20:F22)</f>
        <v>0.94346298704160214</v>
      </c>
      <c r="S8">
        <f t="shared" ref="S8" si="51">AVERAGE(G20:G22)</f>
        <v>1.0407523201054145</v>
      </c>
      <c r="T8">
        <f t="shared" ref="T8" si="52">AVERAGE(H20:H22)</f>
        <v>0.88090686160816511</v>
      </c>
      <c r="U8">
        <f t="shared" ref="U8" si="53">AVERAGE(I20:I22)</f>
        <v>1.0511870459145733</v>
      </c>
      <c r="V8">
        <f t="shared" ref="V8" si="54">AVERAGE(J20:J22)</f>
        <v>0.8203168721906362</v>
      </c>
      <c r="W8">
        <f t="shared" ref="W8" si="55">AVERAGE(K20:K22)</f>
        <v>0.7086619077042452</v>
      </c>
    </row>
    <row r="9" spans="1:23" x14ac:dyDescent="0.25">
      <c r="A9" s="3">
        <v>0</v>
      </c>
      <c r="B9" s="12">
        <v>1.4012160004131908</v>
      </c>
      <c r="C9" s="3">
        <v>1.3920634019402816</v>
      </c>
      <c r="D9" s="3">
        <v>2.2731916972987181</v>
      </c>
      <c r="E9" s="3">
        <v>0.85868177047495653</v>
      </c>
      <c r="F9" s="3">
        <v>1.3915606438916777</v>
      </c>
      <c r="G9" s="3">
        <v>1.4442199871941297</v>
      </c>
      <c r="H9" s="3">
        <v>1.4058952231913073</v>
      </c>
      <c r="I9" s="3">
        <v>1.5056903043717225</v>
      </c>
      <c r="J9" s="3">
        <v>1.4848279198431358</v>
      </c>
      <c r="K9" s="3">
        <v>1.4779706582248786</v>
      </c>
      <c r="M9">
        <v>800</v>
      </c>
      <c r="N9">
        <f>AVERAGE(B23:B25)</f>
        <v>1.048157672438442</v>
      </c>
      <c r="O9">
        <f t="shared" ref="O9:P9" si="56">AVERAGE(C23:C25)</f>
        <v>1.1242409020849611</v>
      </c>
      <c r="P9">
        <f t="shared" si="56"/>
        <v>1.4048958538756686</v>
      </c>
      <c r="Q9">
        <f t="shared" ref="Q9" si="57">AVERAGE(E23:E25)</f>
        <v>0.82983727874762869</v>
      </c>
      <c r="R9">
        <f t="shared" ref="R9" si="58">AVERAGE(F23:F25)</f>
        <v>1.081651724835988</v>
      </c>
      <c r="S9">
        <f t="shared" ref="S9" si="59">AVERAGE(G23:G25)</f>
        <v>1.4892601027231427</v>
      </c>
      <c r="T9">
        <f t="shared" ref="T9" si="60">AVERAGE(H23:H25)</f>
        <v>0.93092566315538194</v>
      </c>
      <c r="U9">
        <f t="shared" ref="U9" si="61">AVERAGE(I23:I25)</f>
        <v>1.02791308691966</v>
      </c>
      <c r="V9">
        <f t="shared" ref="V9" si="62">AVERAGE(J23:J25)</f>
        <v>0.97873053077804084</v>
      </c>
      <c r="W9">
        <f t="shared" ref="W9" si="63">AVERAGE(K23:K25)</f>
        <v>1.327635378922329</v>
      </c>
    </row>
    <row r="10" spans="1:23" x14ac:dyDescent="0.25">
      <c r="A10" s="2">
        <v>0</v>
      </c>
      <c r="B10" s="11">
        <v>1.7994924751421562</v>
      </c>
      <c r="C10" s="2">
        <v>1.3391237823997879</v>
      </c>
      <c r="D10" s="2">
        <v>1.9151641797014813</v>
      </c>
      <c r="E10" s="2">
        <v>1.1461486118820863</v>
      </c>
      <c r="F10" s="2">
        <v>1.3447135924569469</v>
      </c>
      <c r="G10" s="2">
        <v>1.5185395487925188</v>
      </c>
      <c r="H10" s="2">
        <v>1.2983464619600862</v>
      </c>
      <c r="I10" s="2">
        <v>1.6225776522205961</v>
      </c>
      <c r="J10" s="2">
        <v>1.4177538704961297</v>
      </c>
      <c r="K10" s="2">
        <v>1.4090248188196177</v>
      </c>
      <c r="M10" s="6">
        <v>800</v>
      </c>
      <c r="N10">
        <f>AVERAGE(B26:B28)</f>
        <v>0.66550027906175668</v>
      </c>
      <c r="O10">
        <f t="shared" ref="O10:P10" si="64">AVERAGE(C26:C28)</f>
        <v>1.0440569745318433</v>
      </c>
      <c r="P10">
        <f t="shared" si="64"/>
        <v>1.2461531384657656</v>
      </c>
      <c r="Q10">
        <f t="shared" ref="Q10" si="65">AVERAGE(E26:E28)</f>
        <v>0.74116397999638695</v>
      </c>
      <c r="R10">
        <f t="shared" ref="R10" si="66">AVERAGE(F26:F28)</f>
        <v>1.1473323961055899</v>
      </c>
      <c r="S10">
        <f t="shared" ref="S10" si="67">AVERAGE(G26:G28)</f>
        <v>1.6050497670190496</v>
      </c>
      <c r="T10">
        <f t="shared" ref="T10" si="68">AVERAGE(H26:H28)</f>
        <v>0.96647866559947937</v>
      </c>
      <c r="U10">
        <f t="shared" ref="U10" si="69">AVERAGE(I26:I28)</f>
        <v>1.0231966718030725</v>
      </c>
      <c r="V10">
        <f t="shared" ref="V10" si="70">AVERAGE(J26:J28)</f>
        <v>1.037355679252703</v>
      </c>
      <c r="W10">
        <f t="shared" ref="W10" si="71">AVERAGE(K26:K28)</f>
        <v>0.97094351041632976</v>
      </c>
    </row>
    <row r="11" spans="1:23" x14ac:dyDescent="0.25">
      <c r="A11" s="3">
        <v>200</v>
      </c>
      <c r="B11" s="12">
        <v>0.76805437982043845</v>
      </c>
      <c r="C11" s="3">
        <v>0.85442474539858571</v>
      </c>
      <c r="D11" s="3">
        <v>1.0317076349586249</v>
      </c>
      <c r="E11" s="3">
        <v>0.96482481510166851</v>
      </c>
      <c r="F11" s="3">
        <v>0.92303703748863075</v>
      </c>
      <c r="G11" s="3">
        <v>1.0626009821431026</v>
      </c>
      <c r="H11" s="3">
        <v>0.87487318974955219</v>
      </c>
      <c r="I11" s="3">
        <v>1.174419688278233</v>
      </c>
      <c r="J11" s="3">
        <v>0.90472329066403123</v>
      </c>
      <c r="K11" s="3">
        <v>0.74792207795969545</v>
      </c>
    </row>
    <row r="12" spans="1:23" x14ac:dyDescent="0.25">
      <c r="A12" s="2">
        <v>200</v>
      </c>
      <c r="B12" s="11">
        <v>0.56763954441837061</v>
      </c>
      <c r="C12" s="2">
        <v>0.75113516332395547</v>
      </c>
      <c r="D12" s="2">
        <v>0.88060956295449067</v>
      </c>
      <c r="E12" s="2">
        <v>0.62383293368079229</v>
      </c>
      <c r="F12" s="2">
        <v>0.90576613717578147</v>
      </c>
      <c r="G12" s="2">
        <v>0.98545724043947314</v>
      </c>
      <c r="H12" s="2">
        <v>0.74136672080549371</v>
      </c>
      <c r="I12" s="2">
        <v>0.95383189355504994</v>
      </c>
      <c r="J12" s="2">
        <v>0.65578059145564604</v>
      </c>
      <c r="K12" s="2">
        <v>0.8420520708937731</v>
      </c>
    </row>
    <row r="13" spans="1:23" x14ac:dyDescent="0.25">
      <c r="A13" s="3">
        <v>200</v>
      </c>
      <c r="B13" s="12">
        <v>0.67852691614133687</v>
      </c>
      <c r="C13" s="3">
        <v>0.85651140130936154</v>
      </c>
      <c r="D13" s="3">
        <v>1.0081600001476383</v>
      </c>
      <c r="E13" s="3">
        <v>0.91563257107316753</v>
      </c>
      <c r="F13" s="3">
        <v>1.0435255921146758</v>
      </c>
      <c r="G13" s="3">
        <v>1.0975381678796305</v>
      </c>
      <c r="H13" s="3">
        <v>0.83937799162047411</v>
      </c>
      <c r="I13" s="3">
        <v>1.1895403069263988</v>
      </c>
      <c r="J13" s="3">
        <v>0.88806536580165085</v>
      </c>
      <c r="K13" s="3">
        <v>0.98631969624889959</v>
      </c>
    </row>
    <row r="14" spans="1:23" x14ac:dyDescent="0.25">
      <c r="A14" s="2">
        <v>200</v>
      </c>
      <c r="B14" s="11">
        <v>0.7644353701760056</v>
      </c>
      <c r="C14" s="2">
        <v>0.74323374856200786</v>
      </c>
      <c r="D14" s="2">
        <v>0.97872458505085003</v>
      </c>
      <c r="E14" s="2">
        <v>0.57507648973614489</v>
      </c>
      <c r="F14" s="2">
        <v>0.80427220626783646</v>
      </c>
      <c r="G14" s="2">
        <v>1.0223123317938798</v>
      </c>
      <c r="H14" s="2">
        <v>0.65921960914427569</v>
      </c>
      <c r="I14" s="2">
        <v>0.86214473997196395</v>
      </c>
      <c r="J14" s="2">
        <v>0.6312121209655901</v>
      </c>
      <c r="K14" s="2">
        <v>0.9865944123807171</v>
      </c>
    </row>
    <row r="15" spans="1:23" x14ac:dyDescent="0.25">
      <c r="A15" s="3">
        <v>200</v>
      </c>
      <c r="B15" s="12">
        <v>0.45255386086526384</v>
      </c>
      <c r="C15" s="3">
        <v>0.4853397919334706</v>
      </c>
      <c r="D15" s="3">
        <v>0.66025515200590867</v>
      </c>
      <c r="E15" s="3">
        <v>0.37063359998533396</v>
      </c>
      <c r="F15" s="3">
        <v>0.3958278284400002</v>
      </c>
      <c r="G15" s="3">
        <v>0.55343522771680065</v>
      </c>
      <c r="H15" s="3">
        <v>0.3669757156404746</v>
      </c>
      <c r="I15" s="3">
        <v>0.53923504777419817</v>
      </c>
      <c r="J15" s="3">
        <v>0.47404849559813345</v>
      </c>
      <c r="K15" s="3">
        <v>0.64491957658586707</v>
      </c>
    </row>
    <row r="16" spans="1:23" x14ac:dyDescent="0.25">
      <c r="A16" s="2">
        <v>200</v>
      </c>
      <c r="B16" s="11">
        <v>0.97517720709278966</v>
      </c>
      <c r="C16" s="2">
        <v>0.93904017284505947</v>
      </c>
      <c r="D16" s="2">
        <v>0.97684237503140625</v>
      </c>
      <c r="E16" s="2">
        <v>0.59284293435673829</v>
      </c>
      <c r="F16" s="2">
        <v>0.90147163061222457</v>
      </c>
      <c r="G16" s="2">
        <v>1.0596177955719486</v>
      </c>
      <c r="H16" s="2">
        <v>0.74467533810741426</v>
      </c>
      <c r="I16" s="2">
        <v>1.0698303792089277</v>
      </c>
      <c r="J16" s="2">
        <v>0.87120402390987839</v>
      </c>
      <c r="K16" s="2">
        <v>1.168318946004876</v>
      </c>
    </row>
    <row r="17" spans="1:11" x14ac:dyDescent="0.25">
      <c r="A17" s="3">
        <v>200</v>
      </c>
      <c r="B17" s="12">
        <v>1.6285714782334668</v>
      </c>
      <c r="C17" s="3">
        <v>1.5811700710979033</v>
      </c>
      <c r="D17" s="3">
        <v>1.637101471750491</v>
      </c>
      <c r="E17" s="3">
        <v>1.3071373136868885</v>
      </c>
      <c r="F17" s="3">
        <v>1.6934758401596546</v>
      </c>
      <c r="G17" s="3">
        <v>2.1873225543877002</v>
      </c>
      <c r="H17" s="3">
        <v>1.4675729193568194</v>
      </c>
      <c r="I17" s="3">
        <v>2.1255775198836826</v>
      </c>
      <c r="J17" s="3">
        <v>1.7018541693936822</v>
      </c>
      <c r="K17" s="3">
        <v>1.5253251357394524</v>
      </c>
    </row>
    <row r="18" spans="1:11" x14ac:dyDescent="0.25">
      <c r="A18" s="2">
        <v>200</v>
      </c>
      <c r="B18" s="11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3">
        <v>200</v>
      </c>
      <c r="B19" s="12">
        <v>0.88141683748011457</v>
      </c>
      <c r="C19" s="3">
        <v>0.88951456182937205</v>
      </c>
      <c r="D19" s="3">
        <v>0.95224896613504906</v>
      </c>
      <c r="E19" s="3">
        <v>0.71000157880824877</v>
      </c>
      <c r="F19" s="3">
        <v>1.0100037875008161</v>
      </c>
      <c r="G19" s="3">
        <v>1.1167834811538138</v>
      </c>
      <c r="H19" s="3">
        <v>0.67366947751549899</v>
      </c>
      <c r="I19" s="3">
        <v>0.94326607705556487</v>
      </c>
      <c r="J19" s="3">
        <v>0.9027078696483164</v>
      </c>
      <c r="K19" s="3">
        <v>0.79078088431113136</v>
      </c>
    </row>
    <row r="20" spans="1:11" x14ac:dyDescent="0.25">
      <c r="A20" s="2">
        <v>800</v>
      </c>
      <c r="B20" s="11">
        <v>0.6380793894949921</v>
      </c>
      <c r="C20" s="2">
        <v>0.84280573515980739</v>
      </c>
      <c r="D20" s="2">
        <v>0.97233324395184151</v>
      </c>
      <c r="E20" s="2">
        <v>0.68009384531107497</v>
      </c>
      <c r="F20" s="2">
        <v>0.92346688083156747</v>
      </c>
      <c r="G20" s="2">
        <v>1.03513865879581</v>
      </c>
      <c r="H20" s="2">
        <v>0.77831330572554658</v>
      </c>
      <c r="I20" s="2">
        <v>0.91348008007523163</v>
      </c>
      <c r="J20" s="2">
        <v>0.82716165702601963</v>
      </c>
      <c r="K20" s="2">
        <v>0.75382764790821577</v>
      </c>
    </row>
    <row r="21" spans="1:11" x14ac:dyDescent="0.25">
      <c r="A21" s="3">
        <v>800</v>
      </c>
      <c r="B21" s="12">
        <v>0.56912141921962089</v>
      </c>
      <c r="C21" s="3">
        <v>0.77145172790451277</v>
      </c>
      <c r="D21" s="3">
        <v>0.91740076184782726</v>
      </c>
      <c r="E21" s="3">
        <v>0.63761376456266317</v>
      </c>
      <c r="F21" s="3">
        <v>0.8631337677763653</v>
      </c>
      <c r="G21" s="3">
        <v>0.97168334974105086</v>
      </c>
      <c r="H21" s="3">
        <v>0.77372889462873429</v>
      </c>
      <c r="I21" s="3">
        <v>0.99612789395261492</v>
      </c>
      <c r="J21" s="3">
        <v>0.74255031134239691</v>
      </c>
      <c r="K21" s="3">
        <v>0.66093793682053292</v>
      </c>
    </row>
    <row r="22" spans="1:11" x14ac:dyDescent="0.25">
      <c r="A22" s="2">
        <v>800</v>
      </c>
      <c r="B22" s="11">
        <v>1.1000238356727512</v>
      </c>
      <c r="C22" s="2">
        <v>0.80098659933561811</v>
      </c>
      <c r="D22" s="2">
        <v>1.1946744777574472</v>
      </c>
      <c r="E22" s="2">
        <v>1.0181557261617771</v>
      </c>
      <c r="F22" s="2">
        <v>1.0437883125168741</v>
      </c>
      <c r="G22" s="2">
        <v>1.1154349517793831</v>
      </c>
      <c r="H22" s="2">
        <v>1.0906783844702141</v>
      </c>
      <c r="I22" s="2">
        <v>1.2439531637158732</v>
      </c>
      <c r="J22" s="2">
        <v>0.89123864820349197</v>
      </c>
      <c r="K22" s="2">
        <v>0.7112201383839869</v>
      </c>
    </row>
    <row r="23" spans="1:11" x14ac:dyDescent="0.25">
      <c r="A23" s="3">
        <v>800</v>
      </c>
      <c r="B23" s="12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5">
      <c r="A24" s="2">
        <v>800</v>
      </c>
      <c r="B24" s="11">
        <v>1.1400124789316775</v>
      </c>
      <c r="C24" s="2">
        <v>1.0449214943556504</v>
      </c>
      <c r="D24" s="2">
        <v>1.351295849570278</v>
      </c>
      <c r="E24" s="2">
        <v>0.79234666071006443</v>
      </c>
      <c r="F24" s="2">
        <v>1.0246685931039548</v>
      </c>
      <c r="G24" s="2">
        <v>1.3412720945670027</v>
      </c>
      <c r="H24" s="2">
        <v>0.89169597275030632</v>
      </c>
      <c r="I24" s="2">
        <v>0.94691766859645732</v>
      </c>
      <c r="J24" s="2">
        <v>0.95456153805808008</v>
      </c>
      <c r="K24" s="2">
        <v>1.1936678916692347</v>
      </c>
    </row>
    <row r="25" spans="1:11" x14ac:dyDescent="0.25">
      <c r="A25" s="3">
        <v>800</v>
      </c>
      <c r="B25" s="12">
        <v>0.95630286594520675</v>
      </c>
      <c r="C25" s="3">
        <v>1.2035603098142718</v>
      </c>
      <c r="D25" s="3">
        <v>1.4584958581810594</v>
      </c>
      <c r="E25" s="3">
        <v>0.86732789678519284</v>
      </c>
      <c r="F25" s="3">
        <v>1.1386348565680211</v>
      </c>
      <c r="G25" s="3">
        <v>1.6372481108792829</v>
      </c>
      <c r="H25" s="3">
        <v>0.97015535356045757</v>
      </c>
      <c r="I25" s="3">
        <v>1.1089085052428627</v>
      </c>
      <c r="J25" s="3">
        <v>1.0028995234980016</v>
      </c>
      <c r="K25" s="3">
        <v>1.4616028661754235</v>
      </c>
    </row>
    <row r="26" spans="1:11" x14ac:dyDescent="0.25">
      <c r="A26" s="2">
        <v>800</v>
      </c>
      <c r="B26" s="11">
        <v>0.62937398161795755</v>
      </c>
      <c r="C26" s="2">
        <v>0.99062622359297925</v>
      </c>
      <c r="D26" s="2">
        <v>1.2839809185674989</v>
      </c>
      <c r="E26" s="2">
        <v>0.82523353281007572</v>
      </c>
      <c r="F26" s="2">
        <v>1.1659478980900246</v>
      </c>
      <c r="G26" s="2">
        <v>1.5701601754053001</v>
      </c>
      <c r="H26" s="2">
        <v>0.95493746142088132</v>
      </c>
      <c r="I26" s="2">
        <v>1.1423101367601578</v>
      </c>
      <c r="J26" s="2">
        <v>0.98446538611472212</v>
      </c>
      <c r="K26" s="2">
        <v>1.0057568605118614</v>
      </c>
    </row>
    <row r="27" spans="1:11" x14ac:dyDescent="0.25">
      <c r="A27" s="3">
        <v>800</v>
      </c>
      <c r="B27" s="12">
        <v>0.86161664449946862</v>
      </c>
      <c r="C27" s="3">
        <v>1.2230401471396808</v>
      </c>
      <c r="D27" s="3">
        <v>1.4214914276053574</v>
      </c>
      <c r="E27" s="3">
        <v>0.77842805067695831</v>
      </c>
      <c r="F27" s="3">
        <v>1.3418551871334503</v>
      </c>
      <c r="G27" s="3">
        <v>1.832152603431074</v>
      </c>
      <c r="H27" s="3">
        <v>1.1399312203275707</v>
      </c>
      <c r="I27" s="3">
        <v>1.1347139113526594</v>
      </c>
      <c r="J27" s="3">
        <v>1.2023199464049927</v>
      </c>
      <c r="K27" s="3">
        <v>1.1644990176253291</v>
      </c>
    </row>
    <row r="28" spans="1:11" x14ac:dyDescent="0.25">
      <c r="A28" s="2">
        <v>800</v>
      </c>
      <c r="B28" s="11">
        <v>0.50551021106784388</v>
      </c>
      <c r="C28" s="2">
        <v>0.91850455286286969</v>
      </c>
      <c r="D28" s="2">
        <v>1.0329870692244407</v>
      </c>
      <c r="E28" s="2">
        <v>0.6198303565021267</v>
      </c>
      <c r="F28" s="2">
        <v>0.93419410309329465</v>
      </c>
      <c r="G28" s="2">
        <v>1.412836522220775</v>
      </c>
      <c r="H28" s="2">
        <v>0.80456731504998635</v>
      </c>
      <c r="I28" s="2">
        <v>0.79256596729640072</v>
      </c>
      <c r="J28" s="2">
        <v>0.92528170523839393</v>
      </c>
      <c r="K28" s="2">
        <v>0.74257465311179893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290C-4E2F-49AD-95C5-1427DAC8DC7E}">
  <dimension ref="A1:L10"/>
  <sheetViews>
    <sheetView tabSelected="1" workbookViewId="0">
      <selection activeCell="C11" sqref="C11"/>
    </sheetView>
  </sheetViews>
  <sheetFormatPr defaultRowHeight="15" x14ac:dyDescent="0.25"/>
  <sheetData>
    <row r="1" spans="1:12" x14ac:dyDescent="0.25">
      <c r="A1" t="s">
        <v>21</v>
      </c>
      <c r="B1" t="s">
        <v>2</v>
      </c>
      <c r="C1" t="s">
        <v>5</v>
      </c>
      <c r="D1" t="s">
        <v>1</v>
      </c>
      <c r="E1" t="s">
        <v>18</v>
      </c>
      <c r="F1" t="s">
        <v>20</v>
      </c>
      <c r="G1" t="s">
        <v>19</v>
      </c>
      <c r="H1" t="s">
        <v>9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1</v>
      </c>
      <c r="B2">
        <v>0</v>
      </c>
      <c r="C2">
        <v>0.87267324574861538</v>
      </c>
      <c r="D2">
        <v>0.79147248534563575</v>
      </c>
      <c r="E2">
        <v>1.0636145135815316</v>
      </c>
      <c r="F2">
        <v>0.86774473569000021</v>
      </c>
      <c r="G2">
        <v>0.9565149525367711</v>
      </c>
      <c r="H2">
        <v>1.0661146345642356</v>
      </c>
      <c r="I2">
        <v>1.0200661067020367</v>
      </c>
      <c r="J2">
        <v>1.1887787124726923</v>
      </c>
      <c r="K2">
        <v>0.8847180594768923</v>
      </c>
      <c r="L2">
        <v>0.7894884995102297</v>
      </c>
    </row>
    <row r="3" spans="1:12" x14ac:dyDescent="0.25">
      <c r="A3">
        <v>2</v>
      </c>
      <c r="B3">
        <v>0</v>
      </c>
      <c r="C3">
        <v>1.091608868933988</v>
      </c>
      <c r="D3">
        <v>1.0380009549621076</v>
      </c>
      <c r="E3">
        <v>1.3154741001860544</v>
      </c>
      <c r="F3">
        <v>0.73313093120957573</v>
      </c>
      <c r="G3">
        <v>0.95196662905235152</v>
      </c>
      <c r="H3">
        <v>1.1909283880207873</v>
      </c>
      <c r="I3">
        <v>0.95055705878894958</v>
      </c>
      <c r="J3">
        <v>1.1194953439739859</v>
      </c>
      <c r="K3">
        <v>0.9637239880180194</v>
      </c>
      <c r="L3">
        <v>1.2747913462461866</v>
      </c>
    </row>
    <row r="4" spans="1:12" x14ac:dyDescent="0.25">
      <c r="A4">
        <v>3</v>
      </c>
      <c r="B4">
        <v>0</v>
      </c>
      <c r="C4">
        <v>1.6003542377776734</v>
      </c>
      <c r="D4">
        <v>1.3655935921700348</v>
      </c>
      <c r="E4">
        <v>2.0941779385000996</v>
      </c>
      <c r="F4">
        <v>1.0024151911785215</v>
      </c>
      <c r="G4">
        <v>1.3681371181743123</v>
      </c>
      <c r="H4">
        <v>1.4813797679933243</v>
      </c>
      <c r="I4">
        <v>1.3521208425756968</v>
      </c>
      <c r="J4">
        <v>1.5641339782961592</v>
      </c>
      <c r="K4">
        <v>1.4512908951696328</v>
      </c>
      <c r="L4">
        <v>1.4434977385222481</v>
      </c>
    </row>
    <row r="5" spans="1:12" x14ac:dyDescent="0.25">
      <c r="A5">
        <v>1</v>
      </c>
      <c r="B5">
        <v>200</v>
      </c>
      <c r="C5">
        <v>0.67140694679338198</v>
      </c>
      <c r="D5">
        <v>0.82069043667730091</v>
      </c>
      <c r="E5">
        <v>0.97349239935358456</v>
      </c>
      <c r="F5">
        <v>0.83476343995187607</v>
      </c>
      <c r="G5">
        <v>0.95744292225969596</v>
      </c>
      <c r="H5">
        <v>1.0485321301540687</v>
      </c>
      <c r="I5">
        <v>0.81853930072517322</v>
      </c>
      <c r="J5">
        <v>1.1059306295865605</v>
      </c>
      <c r="K5">
        <v>0.8161897493071093</v>
      </c>
      <c r="L5">
        <v>0.85876461503412271</v>
      </c>
    </row>
    <row r="6" spans="1:12" x14ac:dyDescent="0.25">
      <c r="A6">
        <v>2</v>
      </c>
      <c r="B6">
        <v>200</v>
      </c>
      <c r="C6">
        <v>0.73072214604468633</v>
      </c>
      <c r="D6">
        <v>0.72253790444684596</v>
      </c>
      <c r="E6">
        <v>0.87194070402938839</v>
      </c>
      <c r="F6">
        <v>0.51285100802607231</v>
      </c>
      <c r="G6">
        <v>0.70052388844002034</v>
      </c>
      <c r="H6">
        <v>0.87845511836087642</v>
      </c>
      <c r="I6">
        <v>0.59029022096405481</v>
      </c>
      <c r="J6">
        <v>0.82373672231836326</v>
      </c>
      <c r="K6">
        <v>0.65882154682453398</v>
      </c>
      <c r="L6">
        <v>0.93327764499048671</v>
      </c>
    </row>
    <row r="7" spans="1:12" x14ac:dyDescent="0.25">
      <c r="A7">
        <v>3</v>
      </c>
      <c r="B7">
        <v>200</v>
      </c>
      <c r="C7">
        <v>1.2549941578567907</v>
      </c>
      <c r="D7">
        <v>1.2353423164636377</v>
      </c>
      <c r="E7">
        <v>1.2946752189427699</v>
      </c>
      <c r="F7">
        <v>1.0085694462475687</v>
      </c>
      <c r="G7">
        <v>1.3517398138302354</v>
      </c>
      <c r="H7">
        <v>1.6520530177707569</v>
      </c>
      <c r="I7">
        <v>1.0706211984361591</v>
      </c>
      <c r="J7">
        <v>1.5344217984696238</v>
      </c>
      <c r="K7">
        <v>1.3022810195209993</v>
      </c>
      <c r="L7">
        <v>1.1580530100252919</v>
      </c>
    </row>
    <row r="8" spans="1:12" x14ac:dyDescent="0.25">
      <c r="A8">
        <v>1</v>
      </c>
      <c r="B8">
        <v>800</v>
      </c>
      <c r="C8">
        <v>0.76907488146245473</v>
      </c>
      <c r="D8">
        <v>0.80508135413331272</v>
      </c>
      <c r="E8">
        <v>1.0281361611857054</v>
      </c>
      <c r="F8">
        <v>0.77862111201183837</v>
      </c>
      <c r="G8">
        <v>0.94346298704160214</v>
      </c>
      <c r="H8">
        <v>1.0407523201054145</v>
      </c>
      <c r="I8">
        <v>0.88090686160816511</v>
      </c>
      <c r="J8">
        <v>1.0511870459145733</v>
      </c>
      <c r="K8">
        <v>0.8203168721906362</v>
      </c>
      <c r="L8">
        <v>0.7086619077042452</v>
      </c>
    </row>
    <row r="9" spans="1:12" x14ac:dyDescent="0.25">
      <c r="A9">
        <v>2</v>
      </c>
      <c r="B9">
        <v>800</v>
      </c>
      <c r="C9">
        <v>1.048157672438442</v>
      </c>
      <c r="D9">
        <v>1.1242409020849611</v>
      </c>
      <c r="E9">
        <v>1.4048958538756686</v>
      </c>
      <c r="F9">
        <v>0.82983727874762869</v>
      </c>
      <c r="G9">
        <v>1.081651724835988</v>
      </c>
      <c r="H9">
        <v>1.4892601027231427</v>
      </c>
      <c r="I9">
        <v>0.93092566315538194</v>
      </c>
      <c r="J9">
        <v>1.02791308691966</v>
      </c>
      <c r="K9">
        <v>0.97873053077804084</v>
      </c>
      <c r="L9">
        <v>1.327635378922329</v>
      </c>
    </row>
    <row r="10" spans="1:12" x14ac:dyDescent="0.25">
      <c r="A10">
        <v>3</v>
      </c>
      <c r="B10">
        <v>800</v>
      </c>
      <c r="C10">
        <v>0.66550027906175668</v>
      </c>
      <c r="D10">
        <v>1.0440569745318433</v>
      </c>
      <c r="E10">
        <v>1.2461531384657656</v>
      </c>
      <c r="F10">
        <v>0.74116397999638695</v>
      </c>
      <c r="G10">
        <v>1.1473323961055899</v>
      </c>
      <c r="H10">
        <v>1.6050497670190496</v>
      </c>
      <c r="I10">
        <v>0.96647866559947937</v>
      </c>
      <c r="J10">
        <v>1.0231966718030725</v>
      </c>
      <c r="K10">
        <v>1.037355679252703</v>
      </c>
      <c r="L10">
        <v>0.97094351041632976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Average for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Westcott</dc:creator>
  <cp:lastModifiedBy>Felix Westcott</cp:lastModifiedBy>
  <dcterms:created xsi:type="dcterms:W3CDTF">2021-11-03T15:18:36Z</dcterms:created>
  <dcterms:modified xsi:type="dcterms:W3CDTF">2022-01-10T16:06:32Z</dcterms:modified>
</cp:coreProperties>
</file>