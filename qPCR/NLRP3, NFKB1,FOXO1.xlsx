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qPCR/"/>
    </mc:Choice>
  </mc:AlternateContent>
  <xr:revisionPtr revIDLastSave="127" documentId="8_{1B0C598B-3C15-4727-BCD6-83BC4859914F}" xr6:coauthVersionLast="47" xr6:coauthVersionMax="47" xr10:uidLastSave="{55DD8072-4001-4BC2-BBA7-95E27AAC49EF}"/>
  <bookViews>
    <workbookView xWindow="-120" yWindow="-120" windowWidth="29040" windowHeight="15840" activeTab="2" xr2:uid="{00000000-000D-0000-FFFF-FFFF00000000}"/>
  </bookViews>
  <sheets>
    <sheet name="Exported Results" sheetId="1" r:id="rId1"/>
    <sheet name="Results Workspace" sheetId="2" r:id="rId2"/>
    <sheet name="NLRP3" sheetId="4" r:id="rId3"/>
    <sheet name="NFKB1" sheetId="5" r:id="rId4"/>
    <sheet name="FOXO1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4" i="2" l="1"/>
  <c r="C152" i="2"/>
  <c r="C15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B39" i="9" s="1"/>
  <c r="D265" i="2"/>
  <c r="D266" i="2"/>
  <c r="D267" i="2"/>
  <c r="B40" i="9" s="1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B47" i="9" s="1"/>
  <c r="D289" i="2"/>
  <c r="D290" i="2"/>
  <c r="D291" i="2"/>
  <c r="B48" i="9" s="1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32" i="9" s="1"/>
  <c r="B244" i="2"/>
  <c r="B245" i="2"/>
  <c r="B246" i="2"/>
  <c r="B247" i="2"/>
  <c r="B248" i="2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B257" i="2"/>
  <c r="B258" i="2"/>
  <c r="B259" i="2"/>
  <c r="B260" i="2"/>
  <c r="B261" i="2"/>
  <c r="B262" i="2"/>
  <c r="B263" i="2"/>
  <c r="B264" i="2"/>
  <c r="B265" i="2"/>
  <c r="B266" i="2"/>
  <c r="C266" i="2" s="1"/>
  <c r="B267" i="2"/>
  <c r="B268" i="2"/>
  <c r="B269" i="2"/>
  <c r="B270" i="2"/>
  <c r="B271" i="2"/>
  <c r="B272" i="2"/>
  <c r="C272" i="2" s="1"/>
  <c r="B273" i="2"/>
  <c r="B274" i="2"/>
  <c r="B275" i="2"/>
  <c r="C275" i="2" s="1"/>
  <c r="B276" i="2"/>
  <c r="C276" i="2" s="1"/>
  <c r="B277" i="2"/>
  <c r="C277" i="2" s="1"/>
  <c r="B278" i="2"/>
  <c r="C278" i="2" s="1"/>
  <c r="B279" i="2"/>
  <c r="B280" i="2"/>
  <c r="B281" i="2"/>
  <c r="B282" i="2"/>
  <c r="B283" i="2"/>
  <c r="B284" i="2"/>
  <c r="B285" i="2"/>
  <c r="B286" i="2"/>
  <c r="B287" i="2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C298" i="2" s="1"/>
  <c r="B299" i="2"/>
  <c r="C299" i="2" s="1"/>
  <c r="B300" i="2"/>
  <c r="B301" i="2"/>
  <c r="B302" i="2"/>
  <c r="B303" i="2"/>
  <c r="C303" i="2" s="1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C324" i="2" s="1"/>
  <c r="B325" i="2"/>
  <c r="C325" i="2" s="1"/>
  <c r="B326" i="2"/>
  <c r="C326" i="2" s="1"/>
  <c r="B327" i="2"/>
  <c r="B328" i="2"/>
  <c r="B329" i="2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D136" i="2"/>
  <c r="D137" i="2"/>
  <c r="D138" i="2"/>
  <c r="B37" i="5" s="1"/>
  <c r="D139" i="2"/>
  <c r="D140" i="2"/>
  <c r="D141" i="2"/>
  <c r="D142" i="2"/>
  <c r="D143" i="2"/>
  <c r="D144" i="2"/>
  <c r="B39" i="5" s="1"/>
  <c r="D145" i="2"/>
  <c r="D146" i="2"/>
  <c r="D147" i="2"/>
  <c r="B40" i="5" s="1"/>
  <c r="D148" i="2"/>
  <c r="D149" i="2"/>
  <c r="D150" i="2"/>
  <c r="D151" i="2"/>
  <c r="D152" i="2"/>
  <c r="D153" i="2"/>
  <c r="B42" i="5" s="1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B47" i="5" s="1"/>
  <c r="D169" i="2"/>
  <c r="D170" i="2"/>
  <c r="D171" i="2"/>
  <c r="B48" i="5" s="1"/>
  <c r="D172" i="2"/>
  <c r="D173" i="2"/>
  <c r="D174" i="2"/>
  <c r="B49" i="5" s="1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B56" i="5" s="1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D208" i="2"/>
  <c r="D209" i="2"/>
  <c r="D210" i="2"/>
  <c r="B61" i="5" s="1"/>
  <c r="D211" i="2"/>
  <c r="D212" i="2"/>
  <c r="D213" i="2"/>
  <c r="B62" i="5" s="1"/>
  <c r="D214" i="2"/>
  <c r="D215" i="2"/>
  <c r="D216" i="2"/>
  <c r="B63" i="5" s="1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C124" i="2" s="1"/>
  <c r="B125" i="2"/>
  <c r="C125" i="2" s="1"/>
  <c r="B126" i="2"/>
  <c r="C126" i="2" s="1"/>
  <c r="B127" i="2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C156" i="2" s="1"/>
  <c r="B157" i="2"/>
  <c r="C157" i="2" s="1"/>
  <c r="B158" i="2"/>
  <c r="C158" i="2" s="1"/>
  <c r="B159" i="2"/>
  <c r="C159" i="2" s="1"/>
  <c r="B160" i="2"/>
  <c r="B161" i="2"/>
  <c r="B162" i="2"/>
  <c r="B163" i="2"/>
  <c r="B164" i="2"/>
  <c r="B165" i="2"/>
  <c r="B166" i="2"/>
  <c r="B167" i="2"/>
  <c r="B168" i="2"/>
  <c r="B169" i="2"/>
  <c r="C169" i="2" s="1"/>
  <c r="B170" i="2"/>
  <c r="B171" i="2"/>
  <c r="B172" i="2"/>
  <c r="B173" i="2"/>
  <c r="B174" i="2"/>
  <c r="B175" i="2"/>
  <c r="B176" i="2"/>
  <c r="B177" i="2"/>
  <c r="C177" i="2" s="1"/>
  <c r="B178" i="2"/>
  <c r="C178" i="2" s="1"/>
  <c r="B179" i="2"/>
  <c r="C179" i="2" s="1"/>
  <c r="B180" i="2"/>
  <c r="B181" i="2"/>
  <c r="B182" i="2"/>
  <c r="B183" i="2"/>
  <c r="B184" i="2"/>
  <c r="C184" i="2" s="1"/>
  <c r="B185" i="2"/>
  <c r="C185" i="2" s="1"/>
  <c r="B186" i="2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B202" i="2"/>
  <c r="B203" i="2"/>
  <c r="B204" i="2"/>
  <c r="C204" i="2" s="1"/>
  <c r="B205" i="2"/>
  <c r="C205" i="2" s="1"/>
  <c r="B206" i="2"/>
  <c r="C206" i="2" s="1"/>
  <c r="B207" i="2"/>
  <c r="B208" i="2"/>
  <c r="B209" i="2"/>
  <c r="B210" i="2"/>
  <c r="C210" i="2" s="1"/>
  <c r="B211" i="2"/>
  <c r="C211" i="2" s="1"/>
  <c r="B212" i="2"/>
  <c r="C212" i="2" s="1"/>
  <c r="B213" i="2"/>
  <c r="B214" i="2"/>
  <c r="B215" i="2"/>
  <c r="B216" i="2"/>
  <c r="B217" i="2"/>
  <c r="B218" i="2"/>
  <c r="C218" i="2" s="1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B240" i="2"/>
  <c r="B241" i="2"/>
  <c r="B242" i="2"/>
  <c r="C242" i="2" s="1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B5" i="2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B32" i="2"/>
  <c r="C32" i="2" s="1"/>
  <c r="B33" i="2"/>
  <c r="C33" i="2" s="1"/>
  <c r="B34" i="2"/>
  <c r="C34" i="2" s="1"/>
  <c r="B35" i="2"/>
  <c r="C35" i="2" s="1"/>
  <c r="B36" i="2"/>
  <c r="C36" i="2" s="1"/>
  <c r="B37" i="2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B82" i="2"/>
  <c r="B83" i="2"/>
  <c r="B84" i="2"/>
  <c r="C84" i="2" s="1"/>
  <c r="B85" i="2"/>
  <c r="C85" i="2" s="1"/>
  <c r="B86" i="2"/>
  <c r="C86" i="2" s="1"/>
  <c r="B87" i="2"/>
  <c r="B88" i="2"/>
  <c r="B89" i="2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3" i="2"/>
  <c r="C5" i="2"/>
  <c r="B33" i="5"/>
  <c r="B36" i="5"/>
  <c r="B41" i="5"/>
  <c r="B43" i="5"/>
  <c r="B44" i="5"/>
  <c r="B45" i="5"/>
  <c r="B60" i="5"/>
  <c r="B65" i="5"/>
  <c r="C13" i="2"/>
  <c r="C31" i="2"/>
  <c r="C37" i="2"/>
  <c r="C109" i="2"/>
  <c r="B49" i="9"/>
  <c r="B46" i="9"/>
  <c r="B45" i="9"/>
  <c r="B44" i="9"/>
  <c r="B43" i="9"/>
  <c r="B42" i="9"/>
  <c r="B41" i="9"/>
  <c r="B38" i="9"/>
  <c r="A7" i="9" s="1"/>
  <c r="B37" i="9"/>
  <c r="A6" i="9" s="1"/>
  <c r="B36" i="9"/>
  <c r="A5" i="9" s="1"/>
  <c r="B35" i="9"/>
  <c r="A4" i="9" s="1"/>
  <c r="B34" i="9"/>
  <c r="A3" i="9" s="1"/>
  <c r="B33" i="9"/>
  <c r="A2" i="9" s="1"/>
  <c r="E65" i="9"/>
  <c r="E64" i="9"/>
  <c r="F7" i="9"/>
  <c r="F6" i="9"/>
  <c r="F5" i="9"/>
  <c r="F4" i="9"/>
  <c r="F3" i="9"/>
  <c r="F2" i="9"/>
  <c r="E64" i="5"/>
  <c r="E65" i="5"/>
  <c r="B54" i="5"/>
  <c r="B52" i="5"/>
  <c r="B46" i="5"/>
  <c r="B38" i="5"/>
  <c r="C340" i="2"/>
  <c r="C341" i="2"/>
  <c r="C287" i="2"/>
  <c r="C284" i="2"/>
  <c r="C281" i="2"/>
  <c r="C269" i="2"/>
  <c r="C263" i="2"/>
  <c r="C260" i="2"/>
  <c r="C245" i="2"/>
  <c r="C239" i="2"/>
  <c r="B67" i="5" l="1"/>
  <c r="B51" i="5"/>
  <c r="B53" i="5"/>
  <c r="B64" i="5"/>
  <c r="B55" i="5"/>
  <c r="B57" i="5"/>
  <c r="E6" i="2"/>
  <c r="F6" i="2"/>
  <c r="C139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4" i="2"/>
  <c r="C155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56" i="2"/>
  <c r="C258" i="2"/>
  <c r="C259" i="2"/>
  <c r="C261" i="2"/>
  <c r="C262" i="2"/>
  <c r="C264" i="2"/>
  <c r="C265" i="2"/>
  <c r="C267" i="2"/>
  <c r="C268" i="2"/>
  <c r="C270" i="2"/>
  <c r="C271" i="2"/>
  <c r="C273" i="2"/>
  <c r="C279" i="2"/>
  <c r="C280" i="2"/>
  <c r="C282" i="2"/>
  <c r="C283" i="2"/>
  <c r="C285" i="2"/>
  <c r="C286" i="2"/>
  <c r="C288" i="2"/>
  <c r="C289" i="2"/>
  <c r="C291" i="2"/>
  <c r="C292" i="2"/>
  <c r="C293" i="2"/>
  <c r="C294" i="2"/>
  <c r="C296" i="2"/>
  <c r="C297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9"/>
  <c r="D36" i="5"/>
  <c r="D50" i="5"/>
  <c r="C47" i="5"/>
  <c r="D40" i="5"/>
  <c r="C53" i="5"/>
  <c r="D47" i="5"/>
  <c r="C40" i="5"/>
  <c r="D53" i="5"/>
  <c r="C51" i="5"/>
  <c r="D57" i="5"/>
  <c r="C34" i="5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B3" i="5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43" i="5" l="1"/>
  <c r="E34" i="5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<sst xmlns="http://schemas.openxmlformats.org/spreadsheetml/2006/main" count="2097" uniqueCount="549">
  <si>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</si>
  <si>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</si>
  <si>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</si>
  <si>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</si>
  <si>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</si>
  <si>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</si>
  <si>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</si>
  <si>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</si>
  <si>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</si>
  <si>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</si>
  <si>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</si>
  <si>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</si>
  <si>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</si>
  <si>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</si>
  <si>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</si>
  <si>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</si>
  <si>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</si>
  <si>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</si>
  <si>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</si>
  <si>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</si>
  <si>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</si>
  <si>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</si>
  <si>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</si>
  <si>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</si>
  <si>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</si>
  <si>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</si>
  <si>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</si>
  <si>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</si>
  <si>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</si>
  <si>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</si>
  <si>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</si>
  <si>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</si>
  <si>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</si>
  <si>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</si>
  <si>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</si>
  <si>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</si>
  <si>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</si>
  <si>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</si>
  <si>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</si>
  <si>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</si>
  <si>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</si>
  <si>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</si>
  <si>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</si>
  <si>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</si>
  <si>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</si>
  <si>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</si>
  <si>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</si>
  <si>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</si>
  <si>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</si>
  <si>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</si>
  <si>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</si>
  <si>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</si>
  <si>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</si>
  <si>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</si>
  <si>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</si>
  <si>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</si>
  <si>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</si>
  <si>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</si>
  <si>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</si>
  <si>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</si>
  <si>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</si>
  <si>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</si>
  <si>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</si>
  <si>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</si>
  <si>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</si>
  <si>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</si>
  <si>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</si>
  <si>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</si>
  <si>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</si>
  <si>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</si>
  <si>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</si>
  <si>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</si>
  <si>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</si>
  <si>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</si>
  <si>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</si>
  <si>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</si>
  <si>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</si>
  <si>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</si>
  <si>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</si>
  <si>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</si>
  <si>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</si>
  <si>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</si>
  <si>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</si>
  <si>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</si>
  <si>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</si>
  <si>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</si>
  <si>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</si>
  <si>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</si>
  <si>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</si>
  <si>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</si>
  <si>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</si>
  <si>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</si>
  <si>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</si>
  <si>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</si>
  <si>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</si>
  <si>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</si>
  <si>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</si>
  <si>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</si>
  <si>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</si>
  <si>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</si>
  <si>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</si>
  <si>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</si>
  <si>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</si>
  <si>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</si>
  <si>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</si>
  <si>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</si>
  <si>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</si>
  <si>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</si>
  <si>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</si>
  <si>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</si>
  <si>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</si>
  <si>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</si>
  <si>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</si>
  <si>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</si>
  <si>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</si>
  <si>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</si>
  <si>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</si>
  <si>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</si>
  <si>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</si>
  <si>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</si>
  <si>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</si>
  <si>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</si>
  <si>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</si>
  <si>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</si>
  <si>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</si>
  <si>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</si>
  <si>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</si>
  <si>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</si>
  <si>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</si>
  <si>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</si>
  <si>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</si>
  <si>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</si>
  <si>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</si>
  <si>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</si>
  <si>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</si>
  <si>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</si>
  <si>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</si>
  <si>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</si>
  <si>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</si>
  <si>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</si>
  <si>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</si>
  <si>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</si>
  <si>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</si>
  <si>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</si>
  <si>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</si>
  <si>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</si>
  <si>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</si>
  <si>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</si>
  <si>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</si>
  <si>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</si>
  <si>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</si>
  <si>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</si>
  <si>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</si>
  <si>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</si>
  <si>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</si>
  <si>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</si>
  <si>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</si>
  <si>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</si>
  <si>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</si>
  <si>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</si>
  <si>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</si>
  <si>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</si>
  <si>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</si>
  <si>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</si>
  <si>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</si>
  <si>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</si>
  <si>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</si>
  <si>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</si>
  <si>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</si>
  <si>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</si>
  <si>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</si>
  <si>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</si>
  <si>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</si>
  <si>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</si>
  <si>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</si>
  <si>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</si>
  <si>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</si>
  <si>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</si>
  <si>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</si>
  <si>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</si>
  <si>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</si>
  <si>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</si>
  <si>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</si>
  <si>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</si>
  <si>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</si>
  <si>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</si>
  <si>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</si>
  <si>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</si>
  <si>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</si>
  <si>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</si>
  <si>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</si>
  <si>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</si>
  <si>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</si>
  <si>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</si>
  <si>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</si>
  <si>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</si>
  <si>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</si>
  <si>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</si>
  <si>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</si>
  <si>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</si>
  <si>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</si>
  <si>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</si>
  <si>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</si>
  <si>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</si>
  <si>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</si>
  <si>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</si>
  <si>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</si>
  <si>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</si>
  <si>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</si>
  <si>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</si>
  <si>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</si>
  <si>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</si>
  <si>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</si>
  <si>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</si>
  <si>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</si>
  <si>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</si>
  <si>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</si>
  <si>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</si>
  <si>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</si>
  <si>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</si>
  <si>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</si>
  <si>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</si>
  <si>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</si>
  <si>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</si>
  <si>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</si>
  <si>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</si>
  <si>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</si>
  <si>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</si>
  <si>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</si>
  <si>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</si>
  <si>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</si>
  <si>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</si>
  <si>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</si>
  <si>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</si>
  <si>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</si>
  <si>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</si>
  <si>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</si>
  <si>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</si>
  <si>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</si>
  <si>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</si>
  <si>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</si>
  <si>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</si>
  <si>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</si>
  <si>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</si>
  <si>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</si>
  <si>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</si>
  <si>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</si>
  <si>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</si>
  <si>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</si>
  <si>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</si>
  <si>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</si>
  <si>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</si>
  <si>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</si>
  <si>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</si>
  <si>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</si>
  <si>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</si>
  <si>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</si>
  <si>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</si>
  <si>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</si>
  <si>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</si>
  <si>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</si>
  <si>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</si>
  <si>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</si>
  <si>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</si>
  <si>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</si>
  <si>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</si>
  <si>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</si>
  <si>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</si>
  <si>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</si>
  <si>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</si>
  <si>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</si>
  <si>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</si>
  <si>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</si>
  <si>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</si>
  <si>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</si>
  <si>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</si>
  <si>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</si>
  <si>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</si>
  <si>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</si>
  <si>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</si>
  <si>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</si>
  <si>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</si>
  <si>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</si>
  <si>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</si>
  <si>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</si>
  <si>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</si>
  <si>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</si>
  <si>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</si>
  <si>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</si>
  <si>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</si>
  <si>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</si>
  <si>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</si>
  <si>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</si>
  <si>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</si>
  <si>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</si>
  <si>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</si>
  <si>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</si>
  <si>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</si>
  <si>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</si>
  <si>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</si>
  <si>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</si>
  <si>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</si>
  <si>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</si>
  <si>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</si>
  <si>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</si>
  <si>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</si>
  <si>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</si>
  <si>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</si>
  <si>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</si>
  <si>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</si>
  <si>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</si>
  <si>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</si>
  <si>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</si>
  <si>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</si>
  <si>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</si>
  <si>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</si>
  <si>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</si>
  <si>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</si>
  <si>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</si>
  <si>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</si>
  <si>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</si>
  <si>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</si>
  <si>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</si>
  <si>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</si>
  <si>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</si>
  <si>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</si>
  <si>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</si>
  <si>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</si>
  <si>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</si>
  <si>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</si>
  <si>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</si>
  <si>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</si>
  <si>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</si>
  <si>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</si>
  <si>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</si>
  <si>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</si>
  <si>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</si>
  <si>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</si>
  <si>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</si>
  <si>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</si>
  <si>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</si>
  <si>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</si>
  <si>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</si>
  <si>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</si>
  <si>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</si>
  <si>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</si>
  <si>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</si>
  <si>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</si>
  <si>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</si>
  <si>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</si>
  <si>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</si>
  <si>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</si>
  <si>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</si>
  <si>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</si>
  <si>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</si>
  <si>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</si>
  <si>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</si>
  <si>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</si>
  <si>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</si>
  <si>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</si>
  <si>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</si>
  <si>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</si>
  <si>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</si>
  <si>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</si>
  <si>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</si>
  <si>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</si>
  <si>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</si>
  <si>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</si>
  <si>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</si>
  <si>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</si>
  <si>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</si>
  <si>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</si>
  <si>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</si>
  <si>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</si>
  <si>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</si>
  <si>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</si>
  <si>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</si>
  <si>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</si>
  <si>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</si>
  <si>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</si>
  <si>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</si>
  <si>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</si>
  <si>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</si>
  <si>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</si>
  <si>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</si>
  <si>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</si>
  <si>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</si>
  <si>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</si>
  <si>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</si>
  <si>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</si>
  <si>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</si>
  <si>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</si>
  <si>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</si>
  <si>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</si>
  <si>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</si>
  <si>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</si>
  <si>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</si>
  <si>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</si>
  <si>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</si>
  <si>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</si>
  <si>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</si>
  <si>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</si>
  <si>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</si>
  <si>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</si>
  <si>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</si>
  <si>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</si>
  <si>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</si>
  <si>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</si>
  <si>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</si>
  <si>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</si>
  <si>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</si>
  <si>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</si>
  <si>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</si>
  <si>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</si>
  <si>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</si>
  <si>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</si>
  <si>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</si>
  <si>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</si>
  <si>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</si>
  <si>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</si>
  <si>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</si>
  <si>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</si>
  <si>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</si>
  <si>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</si>
  <si>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</si>
  <si>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</si>
  <si>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</si>
  <si>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</si>
  <si>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</si>
  <si>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</si>
  <si>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</si>
  <si>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</si>
  <si>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</si>
  <si>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</si>
  <si>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</si>
  <si>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</si>
  <si>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</si>
  <si>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</si>
  <si>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</si>
  <si>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</si>
  <si>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</si>
  <si>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</si>
  <si>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</si>
  <si>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</si>
  <si>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</si>
  <si>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</si>
  <si>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</si>
  <si>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</si>
  <si>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</si>
  <si>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</si>
  <si>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</si>
  <si>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</si>
  <si>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</si>
  <si>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</si>
  <si>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</si>
  <si>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</si>
  <si>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</si>
  <si>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</si>
  <si>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</si>
  <si>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</si>
  <si>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</si>
  <si>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0.1.a</t>
  </si>
  <si>
    <t>0.1.b</t>
  </si>
  <si>
    <t>0.1.c</t>
  </si>
  <si>
    <t>0.2.a</t>
  </si>
  <si>
    <t>0.2.b</t>
  </si>
  <si>
    <t>0.2.c</t>
  </si>
  <si>
    <t>0.3.a</t>
  </si>
  <si>
    <t>0.3.b</t>
  </si>
  <si>
    <t>0.3.c</t>
  </si>
  <si>
    <t>2.1.a</t>
  </si>
  <si>
    <t>2.1.b</t>
  </si>
  <si>
    <t>2.1.c</t>
  </si>
  <si>
    <t>2.2.a</t>
  </si>
  <si>
    <t>2.2.b</t>
  </si>
  <si>
    <t>2.2.c</t>
  </si>
  <si>
    <t>2.3.a</t>
  </si>
  <si>
    <t>2.3.b</t>
  </si>
  <si>
    <t>2.3.c</t>
  </si>
  <si>
    <t>8.1.a</t>
  </si>
  <si>
    <t>8.1.b</t>
  </si>
  <si>
    <t>8.1.c</t>
  </si>
  <si>
    <t>8.2.a</t>
  </si>
  <si>
    <t>8.2.b</t>
  </si>
  <si>
    <t>8.2.c</t>
  </si>
  <si>
    <t>8.3.a</t>
  </si>
  <si>
    <t>8.3.b</t>
  </si>
  <si>
    <t>8.3.c</t>
  </si>
  <si>
    <t>0.4.a</t>
  </si>
  <si>
    <t>0.4.b</t>
  </si>
  <si>
    <t>0.4.c</t>
  </si>
  <si>
    <t>0.5.a</t>
  </si>
  <si>
    <t>0.5.b</t>
  </si>
  <si>
    <t>0.5.c</t>
  </si>
  <si>
    <t>0.6.a</t>
  </si>
  <si>
    <t>0.6.b</t>
  </si>
  <si>
    <t>0.6.c</t>
  </si>
  <si>
    <t>0.7.a</t>
  </si>
  <si>
    <t>0.7.b</t>
  </si>
  <si>
    <t>0.7.c</t>
  </si>
  <si>
    <t>0.8.a</t>
  </si>
  <si>
    <t>0.8.b</t>
  </si>
  <si>
    <t>0.8.c</t>
  </si>
  <si>
    <t>0.9.a</t>
  </si>
  <si>
    <t>0.9.b</t>
  </si>
  <si>
    <t>0.9.c</t>
  </si>
  <si>
    <t>2.4.a</t>
  </si>
  <si>
    <t>2.4.b</t>
  </si>
  <si>
    <t>2.4.c</t>
  </si>
  <si>
    <t>2.5.a</t>
  </si>
  <si>
    <t>2.5.b</t>
  </si>
  <si>
    <t>2.5.c</t>
  </si>
  <si>
    <t>2.6.a</t>
  </si>
  <si>
    <t>2.6.b</t>
  </si>
  <si>
    <t>2.6.c</t>
  </si>
  <si>
    <t>2.7.a</t>
  </si>
  <si>
    <t>2.7.b</t>
  </si>
  <si>
    <t>2.7.c</t>
  </si>
  <si>
    <t>2.8.a</t>
  </si>
  <si>
    <t>2.8.b</t>
  </si>
  <si>
    <t>2.8.c</t>
  </si>
  <si>
    <t>2.9.a</t>
  </si>
  <si>
    <t>2.9.b</t>
  </si>
  <si>
    <t>2.9.c</t>
  </si>
  <si>
    <t>8.4.a</t>
  </si>
  <si>
    <t>8.4.b</t>
  </si>
  <si>
    <t>8.4.c</t>
  </si>
  <si>
    <t>8.5.a</t>
  </si>
  <si>
    <t>8.5.b</t>
  </si>
  <si>
    <t>8.5.c</t>
  </si>
  <si>
    <t>8.6.a</t>
  </si>
  <si>
    <t>8.6.b</t>
  </si>
  <si>
    <t>8.6.c</t>
  </si>
  <si>
    <t>8.7.a</t>
  </si>
  <si>
    <t>8.7.b</t>
  </si>
  <si>
    <t>8.7.c</t>
  </si>
  <si>
    <t>8.8.a</t>
  </si>
  <si>
    <t>8.8.b</t>
  </si>
  <si>
    <t>8.8.c</t>
  </si>
  <si>
    <t>8.9.a</t>
  </si>
  <si>
    <t>8.9.b</t>
  </si>
  <si>
    <t>8.9.c</t>
  </si>
  <si>
    <t>2021-11-05 13:21:38 PM GMT</t>
  </si>
  <si>
    <t>D:\Users\Administrator\Desktop\FELIX\Felix HF v LF 5.eds</t>
  </si>
  <si>
    <t>Felix HF v LF 5</t>
  </si>
  <si>
    <t>2021-11-05 14:12:10 PM GMT</t>
  </si>
  <si>
    <t>NLRP3</t>
  </si>
  <si>
    <t>NFKB1</t>
  </si>
  <si>
    <t>FOXO1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</si>
</sst>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165" fontId="7" fillId="7" borderId="0" xfId="3" applyNumberFormat="1" applyFont="1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NLRP3!$B$2:$B$7</c:f>
              <c:numCache>
                <c:formatCode>General</c:formatCode>
                <c:ptCount val="6"/>
                <c:pt idx="0">
                  <c:v>38.132823944091797</c:v>
                </c:pt>
                <c:pt idx="1">
                  <c:v>39.506110890706374</c:v>
                </c:pt>
                <c:pt idx="2">
                  <c:v>40.1</c:v>
                </c:pt>
                <c:pt idx="3">
                  <c:v>39.359822336832686</c:v>
                </c:pt>
                <c:pt idx="4">
                  <c:v>40.1</c:v>
                </c:pt>
                <c:pt idx="5">
                  <c:v>40.1</c:v>
                </c:pt>
              </c:numCache>
            </c:numRef>
          </c:xVal>
          <c:yVal>
            <c:numRef>
              <c:f>NLRP3!$F$2:$F$7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NFKB1!$B$2:$B$7</c:f>
              <c:numCache>
                <c:formatCode>General</c:formatCode>
                <c:ptCount val="6"/>
                <c:pt idx="0">
                  <c:v>26.31768798828125</c:v>
                </c:pt>
                <c:pt idx="1">
                  <c:v>26.988927205403645</c:v>
                </c:pt>
                <c:pt idx="2">
                  <c:v>28.210165023803711</c:v>
                </c:pt>
                <c:pt idx="3">
                  <c:v>29.209850947062176</c:v>
                </c:pt>
                <c:pt idx="4">
                  <c:v>30.489621480305988</c:v>
                </c:pt>
                <c:pt idx="5">
                  <c:v>31.748273213704426</c:v>
                </c:pt>
              </c:numCache>
            </c:numRef>
          </c:xVal>
          <c:yVal>
            <c:numRef>
              <c:f>NFKB1!$F$2:$F$7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FOXO1!$B$2:$B$7</c:f>
              <c:numCache>
                <c:formatCode>General</c:formatCode>
                <c:ptCount val="6"/>
                <c:pt idx="0">
                  <c:v>28.361588160196941</c:v>
                </c:pt>
                <c:pt idx="1">
                  <c:v>29.062718073527019</c:v>
                </c:pt>
                <c:pt idx="2">
                  <c:v>30.123767217000324</c:v>
                </c:pt>
                <c:pt idx="3">
                  <c:v>31.634492874145508</c:v>
                </c:pt>
                <c:pt idx="4">
                  <c:v>32.566486358642578</c:v>
                </c:pt>
                <c:pt idx="5">
                  <c:v>33.611462910970054</c:v>
                </c:pt>
              </c:numCache>
            </c:numRef>
          </c:xVal>
          <c:yVal>
            <c:numRef>
              <c:f>FOXO1!$F$2:$F$7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0.51</c:v>
                </c:pt>
                <c:pt idx="1">
                  <c:v>0.46</c:v>
                </c:pt>
                <c:pt idx="2">
                  <c:v>0.49</c:v>
                </c:pt>
                <c:pt idx="3">
                  <c:v>0.52</c:v>
                </c:pt>
                <c:pt idx="4">
                  <c:v>0.43</c:v>
                </c:pt>
                <c:pt idx="5">
                  <c:v>0.5</c:v>
                </c:pt>
                <c:pt idx="6">
                  <c:v>0.44</c:v>
                </c:pt>
                <c:pt idx="7">
                  <c:v>0.41</c:v>
                </c:pt>
                <c:pt idx="8">
                  <c:v>0.55000000000000004</c:v>
                </c:pt>
                <c:pt idx="9">
                  <c:v>0.63</c:v>
                </c:pt>
                <c:pt idx="10">
                  <c:v>0.48</c:v>
                </c:pt>
                <c:pt idx="11">
                  <c:v>0.45</c:v>
                </c:pt>
                <c:pt idx="13">
                  <c:v>0.44</c:v>
                </c:pt>
                <c:pt idx="14">
                  <c:v>0.56999999999999995</c:v>
                </c:pt>
                <c:pt idx="15">
                  <c:v>0.4</c:v>
                </c:pt>
                <c:pt idx="17">
                  <c:v>0.44</c:v>
                </c:pt>
                <c:pt idx="18">
                  <c:v>0.73</c:v>
                </c:pt>
                <c:pt idx="20">
                  <c:v>0.55000000000000004</c:v>
                </c:pt>
                <c:pt idx="22">
                  <c:v>0.56000000000000005</c:v>
                </c:pt>
                <c:pt idx="23">
                  <c:v>0.6</c:v>
                </c:pt>
                <c:pt idx="24">
                  <c:v>0.51</c:v>
                </c:pt>
                <c:pt idx="25">
                  <c:v>0.51</c:v>
                </c:pt>
                <c:pt idx="2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0.56000000000000005</c:v>
                </c:pt>
                <c:pt idx="1">
                  <c:v>0.53</c:v>
                </c:pt>
                <c:pt idx="2">
                  <c:v>0.59</c:v>
                </c:pt>
                <c:pt idx="3">
                  <c:v>0.51</c:v>
                </c:pt>
                <c:pt idx="4">
                  <c:v>0.62</c:v>
                </c:pt>
                <c:pt idx="5">
                  <c:v>1.02</c:v>
                </c:pt>
                <c:pt idx="6">
                  <c:v>0.59</c:v>
                </c:pt>
                <c:pt idx="7">
                  <c:v>0.47</c:v>
                </c:pt>
                <c:pt idx="8">
                  <c:v>0.73</c:v>
                </c:pt>
                <c:pt idx="9">
                  <c:v>0.54</c:v>
                </c:pt>
                <c:pt idx="10">
                  <c:v>0.45</c:v>
                </c:pt>
                <c:pt idx="11">
                  <c:v>0.49</c:v>
                </c:pt>
                <c:pt idx="13">
                  <c:v>0.79</c:v>
                </c:pt>
                <c:pt idx="14">
                  <c:v>0.57999999999999996</c:v>
                </c:pt>
                <c:pt idx="15">
                  <c:v>0.44</c:v>
                </c:pt>
                <c:pt idx="17">
                  <c:v>0.42</c:v>
                </c:pt>
                <c:pt idx="18">
                  <c:v>0.55000000000000004</c:v>
                </c:pt>
                <c:pt idx="20">
                  <c:v>0.5</c:v>
                </c:pt>
                <c:pt idx="22">
                  <c:v>0.49</c:v>
                </c:pt>
                <c:pt idx="23">
                  <c:v>0.6</c:v>
                </c:pt>
                <c:pt idx="24">
                  <c:v>0.72</c:v>
                </c:pt>
                <c:pt idx="25">
                  <c:v>0.86</c:v>
                </c:pt>
                <c:pt idx="26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0.52</c:v>
                </c:pt>
                <c:pt idx="1">
                  <c:v>0.42</c:v>
                </c:pt>
                <c:pt idx="2">
                  <c:v>0.5</c:v>
                </c:pt>
                <c:pt idx="3">
                  <c:v>0.5</c:v>
                </c:pt>
                <c:pt idx="4">
                  <c:v>0.41</c:v>
                </c:pt>
                <c:pt idx="5">
                  <c:v>0.57999999999999996</c:v>
                </c:pt>
                <c:pt idx="6">
                  <c:v>0.4</c:v>
                </c:pt>
                <c:pt idx="7">
                  <c:v>0.41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0.42</c:v>
                </c:pt>
                <c:pt idx="13">
                  <c:v>0.64</c:v>
                </c:pt>
                <c:pt idx="14">
                  <c:v>0.65</c:v>
                </c:pt>
                <c:pt idx="15">
                  <c:v>0.39</c:v>
                </c:pt>
                <c:pt idx="17">
                  <c:v>0.38</c:v>
                </c:pt>
                <c:pt idx="18">
                  <c:v>0.76</c:v>
                </c:pt>
                <c:pt idx="20">
                  <c:v>0.44</c:v>
                </c:pt>
                <c:pt idx="22">
                  <c:v>0.56000000000000005</c:v>
                </c:pt>
                <c:pt idx="23">
                  <c:v>0.62</c:v>
                </c:pt>
                <c:pt idx="24">
                  <c:v>0.5</c:v>
                </c:pt>
                <c:pt idx="25">
                  <c:v>0.56999999999999995</c:v>
                </c:pt>
                <c:pt idx="2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0.53</c:v>
                </c:pt>
                <c:pt idx="1">
                  <c:v>0.47</c:v>
                </c:pt>
                <c:pt idx="2">
                  <c:v>0.52</c:v>
                </c:pt>
                <c:pt idx="3">
                  <c:v>0.51</c:v>
                </c:pt>
                <c:pt idx="4">
                  <c:v>0.48</c:v>
                </c:pt>
                <c:pt idx="5">
                  <c:v>0.67</c:v>
                </c:pt>
                <c:pt idx="6">
                  <c:v>0.47</c:v>
                </c:pt>
                <c:pt idx="7">
                  <c:v>0.43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0.46</c:v>
                </c:pt>
                <c:pt idx="11">
                  <c:v>0.45</c:v>
                </c:pt>
                <c:pt idx="13">
                  <c:v>0.6</c:v>
                </c:pt>
                <c:pt idx="14">
                  <c:v>0.6</c:v>
                </c:pt>
                <c:pt idx="15">
                  <c:v>0.41</c:v>
                </c:pt>
                <c:pt idx="17">
                  <c:v>0.41</c:v>
                </c:pt>
                <c:pt idx="18">
                  <c:v>0.67</c:v>
                </c:pt>
                <c:pt idx="20">
                  <c:v>0.49</c:v>
                </c:pt>
                <c:pt idx="22">
                  <c:v>0.54</c:v>
                </c:pt>
                <c:pt idx="23">
                  <c:v>0.6</c:v>
                </c:pt>
                <c:pt idx="24">
                  <c:v>0.56000000000000005</c:v>
                </c:pt>
                <c:pt idx="25">
                  <c:v>0.63</c:v>
                </c:pt>
                <c:pt idx="2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43" workbookViewId="0">
      <selection activeCell="F38" sqref="F38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456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542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543</v>
      </c>
    </row>
    <row r="29" spans="1:2" s="2" customFormat="1" x14ac:dyDescent="0.2">
      <c r="A29" s="2" t="s">
        <v>31</v>
      </c>
      <c r="B29" s="2" t="s">
        <v>544</v>
      </c>
    </row>
    <row r="30" spans="1:2" s="2" customFormat="1" x14ac:dyDescent="0.2">
      <c r="A30" s="2" t="s">
        <v>32</v>
      </c>
      <c r="B30" s="2" t="s">
        <v>545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546</v>
      </c>
      <c r="D42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546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546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546</v>
      </c>
      <c r="D45" s="1">
        <v>36.972270965576172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546</v>
      </c>
      <c r="D46" s="1">
        <v>38.422946929931641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546</v>
      </c>
      <c r="D47" s="1">
        <v>39.003253936767578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546</v>
      </c>
      <c r="D48" s="1">
        <v>38.318332672119141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546</v>
      </c>
      <c r="D49" t="s">
        <v>55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546</v>
      </c>
      <c r="D50" t="s">
        <v>55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546</v>
      </c>
      <c r="D51" t="s">
        <v>55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546</v>
      </c>
      <c r="D52" t="s">
        <v>55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546</v>
      </c>
      <c r="D53" t="s">
        <v>55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546</v>
      </c>
      <c r="D54" t="s">
        <v>55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546</v>
      </c>
      <c r="D55" t="s">
        <v>55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546</v>
      </c>
      <c r="D56" s="1">
        <v>37.879467010498047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546</v>
      </c>
      <c r="D57" t="s">
        <v>55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546</v>
      </c>
      <c r="D58" t="s">
        <v>55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546</v>
      </c>
      <c r="D59" t="s">
        <v>55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546</v>
      </c>
      <c r="D60" t="s">
        <v>55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546</v>
      </c>
      <c r="D61" t="s">
        <v>55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546</v>
      </c>
      <c r="D62" t="s">
        <v>55</v>
      </c>
      <c r="H62" s="3" t="s">
        <v>435</v>
      </c>
    </row>
    <row r="63" spans="1:10" x14ac:dyDescent="0.2">
      <c r="A63" t="s">
        <v>76</v>
      </c>
      <c r="B63" s="14" t="s">
        <v>461</v>
      </c>
      <c r="C63" t="s">
        <v>546</v>
      </c>
      <c r="D63" t="s">
        <v>55</v>
      </c>
      <c r="H63" s="14" t="s">
        <v>461</v>
      </c>
      <c r="J63" s="3"/>
    </row>
    <row r="64" spans="1:10" x14ac:dyDescent="0.2">
      <c r="A64" t="s">
        <v>77</v>
      </c>
      <c r="B64" s="14" t="s">
        <v>462</v>
      </c>
      <c r="C64" t="s">
        <v>546</v>
      </c>
      <c r="D64" s="1">
        <v>38.438144683837891</v>
      </c>
      <c r="H64" s="14" t="s">
        <v>462</v>
      </c>
      <c r="J64" s="3"/>
    </row>
    <row r="65" spans="1:10" x14ac:dyDescent="0.2">
      <c r="A65" t="s">
        <v>78</v>
      </c>
      <c r="B65" s="14" t="s">
        <v>463</v>
      </c>
      <c r="C65" t="s">
        <v>546</v>
      </c>
      <c r="D65" t="s">
        <v>55</v>
      </c>
      <c r="H65" s="14" t="s">
        <v>463</v>
      </c>
      <c r="J65" s="3"/>
    </row>
    <row r="66" spans="1:10" x14ac:dyDescent="0.2">
      <c r="A66" t="s">
        <v>79</v>
      </c>
      <c r="B66" s="14" t="s">
        <v>464</v>
      </c>
      <c r="C66" t="s">
        <v>546</v>
      </c>
      <c r="D66" s="1">
        <v>38.461299896240234</v>
      </c>
      <c r="H66" s="14" t="s">
        <v>464</v>
      </c>
      <c r="J66" s="3"/>
    </row>
    <row r="67" spans="1:10" x14ac:dyDescent="0.2">
      <c r="A67" t="s">
        <v>80</v>
      </c>
      <c r="B67" s="14" t="s">
        <v>465</v>
      </c>
      <c r="C67" t="s">
        <v>546</v>
      </c>
      <c r="D67" t="s">
        <v>55</v>
      </c>
      <c r="H67" s="14" t="s">
        <v>465</v>
      </c>
      <c r="J67" s="3"/>
    </row>
    <row r="68" spans="1:10" x14ac:dyDescent="0.2">
      <c r="A68" t="s">
        <v>81</v>
      </c>
      <c r="B68" s="14" t="s">
        <v>466</v>
      </c>
      <c r="C68" t="s">
        <v>546</v>
      </c>
      <c r="D68" t="s">
        <v>55</v>
      </c>
      <c r="H68" s="14" t="s">
        <v>466</v>
      </c>
      <c r="J68" s="3"/>
    </row>
    <row r="69" spans="1:10" x14ac:dyDescent="0.2">
      <c r="A69" t="s">
        <v>82</v>
      </c>
      <c r="B69" s="14" t="s">
        <v>467</v>
      </c>
      <c r="C69" t="s">
        <v>546</v>
      </c>
      <c r="D69" t="s">
        <v>55</v>
      </c>
      <c r="H69" s="14" t="s">
        <v>467</v>
      </c>
      <c r="J69" s="3"/>
    </row>
    <row r="70" spans="1:10" x14ac:dyDescent="0.2">
      <c r="A70" t="s">
        <v>83</v>
      </c>
      <c r="B70" s="14" t="s">
        <v>468</v>
      </c>
      <c r="C70" t="s">
        <v>546</v>
      </c>
      <c r="D70" t="s">
        <v>55</v>
      </c>
      <c r="H70" s="14" t="s">
        <v>468</v>
      </c>
      <c r="J70" s="3"/>
    </row>
    <row r="71" spans="1:10" x14ac:dyDescent="0.2">
      <c r="A71" t="s">
        <v>84</v>
      </c>
      <c r="B71" s="14" t="s">
        <v>469</v>
      </c>
      <c r="C71" t="s">
        <v>546</v>
      </c>
      <c r="D71" t="s">
        <v>55</v>
      </c>
      <c r="H71" s="14" t="s">
        <v>469</v>
      </c>
      <c r="J71" s="3"/>
    </row>
    <row r="72" spans="1:10" x14ac:dyDescent="0.2">
      <c r="A72" t="s">
        <v>85</v>
      </c>
      <c r="B72" s="14" t="s">
        <v>470</v>
      </c>
      <c r="C72" t="s">
        <v>546</v>
      </c>
      <c r="D72" t="s">
        <v>55</v>
      </c>
      <c r="H72" s="14" t="s">
        <v>470</v>
      </c>
      <c r="J72" s="3"/>
    </row>
    <row r="73" spans="1:10" x14ac:dyDescent="0.2">
      <c r="A73" t="s">
        <v>86</v>
      </c>
      <c r="B73" s="14" t="s">
        <v>471</v>
      </c>
      <c r="C73" t="s">
        <v>546</v>
      </c>
      <c r="D73" s="1">
        <v>38.434074401855469</v>
      </c>
      <c r="H73" s="14" t="s">
        <v>471</v>
      </c>
      <c r="J73" s="3"/>
    </row>
    <row r="74" spans="1:10" x14ac:dyDescent="0.2">
      <c r="A74" t="s">
        <v>87</v>
      </c>
      <c r="B74" s="14" t="s">
        <v>472</v>
      </c>
      <c r="C74" t="s">
        <v>546</v>
      </c>
      <c r="D74" t="s">
        <v>55</v>
      </c>
      <c r="H74" s="14" t="s">
        <v>472</v>
      </c>
      <c r="J74" s="3"/>
    </row>
    <row r="75" spans="1:10" x14ac:dyDescent="0.2">
      <c r="A75" t="s">
        <v>88</v>
      </c>
      <c r="B75" s="14" t="s">
        <v>473</v>
      </c>
      <c r="C75" t="s">
        <v>546</v>
      </c>
      <c r="D75" s="1">
        <v>38.205516815185547</v>
      </c>
      <c r="H75" s="14" t="s">
        <v>473</v>
      </c>
      <c r="J75" s="3"/>
    </row>
    <row r="76" spans="1:10" x14ac:dyDescent="0.2">
      <c r="A76" t="s">
        <v>89</v>
      </c>
      <c r="B76" s="14" t="s">
        <v>474</v>
      </c>
      <c r="C76" t="s">
        <v>546</v>
      </c>
      <c r="D76" t="s">
        <v>55</v>
      </c>
      <c r="H76" s="14" t="s">
        <v>474</v>
      </c>
      <c r="J76" s="3"/>
    </row>
    <row r="77" spans="1:10" x14ac:dyDescent="0.2">
      <c r="A77" t="s">
        <v>90</v>
      </c>
      <c r="B77" s="14" t="s">
        <v>475</v>
      </c>
      <c r="C77" t="s">
        <v>546</v>
      </c>
      <c r="D77" s="1">
        <v>38.747200012207031</v>
      </c>
      <c r="H77" s="14" t="s">
        <v>475</v>
      </c>
      <c r="J77" s="3"/>
    </row>
    <row r="78" spans="1:10" x14ac:dyDescent="0.2">
      <c r="A78" t="s">
        <v>91</v>
      </c>
      <c r="B78" s="14" t="s">
        <v>476</v>
      </c>
      <c r="C78" t="s">
        <v>546</v>
      </c>
      <c r="D78" t="s">
        <v>55</v>
      </c>
      <c r="H78" s="14" t="s">
        <v>476</v>
      </c>
      <c r="J78" s="3"/>
    </row>
    <row r="79" spans="1:10" x14ac:dyDescent="0.2">
      <c r="A79" t="s">
        <v>92</v>
      </c>
      <c r="B79" s="14" t="s">
        <v>477</v>
      </c>
      <c r="C79" t="s">
        <v>546</v>
      </c>
      <c r="D79" t="s">
        <v>55</v>
      </c>
      <c r="H79" s="14" t="s">
        <v>477</v>
      </c>
      <c r="J79" s="3"/>
    </row>
    <row r="80" spans="1:10" x14ac:dyDescent="0.2">
      <c r="A80" t="s">
        <v>93</v>
      </c>
      <c r="B80" s="14" t="s">
        <v>478</v>
      </c>
      <c r="C80" t="s">
        <v>546</v>
      </c>
      <c r="D80" t="s">
        <v>55</v>
      </c>
      <c r="H80" s="14" t="s">
        <v>478</v>
      </c>
      <c r="J80" s="3"/>
    </row>
    <row r="81" spans="1:10" x14ac:dyDescent="0.2">
      <c r="A81" t="s">
        <v>94</v>
      </c>
      <c r="B81" s="14" t="s">
        <v>479</v>
      </c>
      <c r="C81" t="s">
        <v>546</v>
      </c>
      <c r="D81" s="1">
        <v>38.149326324462891</v>
      </c>
      <c r="H81" s="14" t="s">
        <v>479</v>
      </c>
      <c r="J81" s="3"/>
    </row>
    <row r="82" spans="1:10" x14ac:dyDescent="0.2">
      <c r="A82" t="s">
        <v>95</v>
      </c>
      <c r="B82" s="14" t="s">
        <v>480</v>
      </c>
      <c r="C82" t="s">
        <v>546</v>
      </c>
      <c r="D82" t="s">
        <v>55</v>
      </c>
      <c r="H82" s="14" t="s">
        <v>480</v>
      </c>
      <c r="J82" s="3"/>
    </row>
    <row r="83" spans="1:10" x14ac:dyDescent="0.2">
      <c r="A83" t="s">
        <v>96</v>
      </c>
      <c r="B83" s="14" t="s">
        <v>481</v>
      </c>
      <c r="C83" t="s">
        <v>546</v>
      </c>
      <c r="D83" s="1">
        <v>38.248844146728516</v>
      </c>
      <c r="H83" s="14" t="s">
        <v>481</v>
      </c>
      <c r="J83" s="3"/>
    </row>
    <row r="84" spans="1:10" x14ac:dyDescent="0.2">
      <c r="A84" t="s">
        <v>97</v>
      </c>
      <c r="B84" s="14" t="s">
        <v>482</v>
      </c>
      <c r="C84" t="s">
        <v>546</v>
      </c>
      <c r="D84" s="1">
        <v>38.282154083251953</v>
      </c>
      <c r="H84" s="14" t="s">
        <v>482</v>
      </c>
      <c r="J84" s="3"/>
    </row>
    <row r="85" spans="1:10" x14ac:dyDescent="0.2">
      <c r="A85" t="s">
        <v>98</v>
      </c>
      <c r="B85" s="14" t="s">
        <v>483</v>
      </c>
      <c r="C85" t="s">
        <v>546</v>
      </c>
      <c r="D85" s="1">
        <v>38.366958618164063</v>
      </c>
      <c r="H85" s="14" t="s">
        <v>483</v>
      </c>
      <c r="J85" s="3"/>
    </row>
    <row r="86" spans="1:10" x14ac:dyDescent="0.2">
      <c r="A86" t="s">
        <v>99</v>
      </c>
      <c r="B86" s="14" t="s">
        <v>484</v>
      </c>
      <c r="C86" t="s">
        <v>546</v>
      </c>
      <c r="D86" t="s">
        <v>55</v>
      </c>
      <c r="H86" s="14" t="s">
        <v>484</v>
      </c>
      <c r="J86" s="3"/>
    </row>
    <row r="87" spans="1:10" x14ac:dyDescent="0.2">
      <c r="A87" t="s">
        <v>100</v>
      </c>
      <c r="B87" s="14" t="s">
        <v>485</v>
      </c>
      <c r="C87" t="s">
        <v>546</v>
      </c>
      <c r="D87" s="1">
        <v>38.344089508056641</v>
      </c>
      <c r="H87" s="14" t="s">
        <v>485</v>
      </c>
      <c r="J87" s="3"/>
    </row>
    <row r="88" spans="1:10" x14ac:dyDescent="0.2">
      <c r="A88" t="s">
        <v>101</v>
      </c>
      <c r="B88" s="14" t="s">
        <v>486</v>
      </c>
      <c r="C88" t="s">
        <v>546</v>
      </c>
      <c r="D88" s="1">
        <v>38.288078308105469</v>
      </c>
      <c r="H88" s="14" t="s">
        <v>486</v>
      </c>
      <c r="J88" s="3"/>
    </row>
    <row r="89" spans="1:10" x14ac:dyDescent="0.2">
      <c r="A89" t="s">
        <v>102</v>
      </c>
      <c r="B89" s="14" t="s">
        <v>487</v>
      </c>
      <c r="C89" t="s">
        <v>546</v>
      </c>
      <c r="D89" t="s">
        <v>55</v>
      </c>
      <c r="H89" s="14" t="s">
        <v>487</v>
      </c>
      <c r="J89" s="3"/>
    </row>
    <row r="90" spans="1:10" x14ac:dyDescent="0.2">
      <c r="A90" t="s">
        <v>103</v>
      </c>
      <c r="B90" s="14" t="s">
        <v>488</v>
      </c>
      <c r="C90" t="s">
        <v>546</v>
      </c>
      <c r="D90" s="1">
        <v>38.434394836425781</v>
      </c>
      <c r="H90" s="14" t="s">
        <v>488</v>
      </c>
      <c r="J90" s="3"/>
    </row>
    <row r="91" spans="1:10" x14ac:dyDescent="0.2">
      <c r="A91" t="s">
        <v>104</v>
      </c>
      <c r="B91" s="14" t="s">
        <v>489</v>
      </c>
      <c r="C91" t="s">
        <v>546</v>
      </c>
      <c r="D91" s="1">
        <v>38.271144866943359</v>
      </c>
      <c r="H91" s="14" t="s">
        <v>489</v>
      </c>
      <c r="J91" s="3"/>
    </row>
    <row r="92" spans="1:10" x14ac:dyDescent="0.2">
      <c r="A92" t="s">
        <v>105</v>
      </c>
      <c r="B92" s="14" t="s">
        <v>490</v>
      </c>
      <c r="C92" t="s">
        <v>546</v>
      </c>
      <c r="D92" t="s">
        <v>55</v>
      </c>
      <c r="H92" s="14" t="s">
        <v>490</v>
      </c>
      <c r="J92" s="3"/>
    </row>
    <row r="93" spans="1:10" x14ac:dyDescent="0.2">
      <c r="A93" t="s">
        <v>106</v>
      </c>
      <c r="B93" s="14" t="s">
        <v>491</v>
      </c>
      <c r="C93" t="s">
        <v>546</v>
      </c>
      <c r="D93" t="s">
        <v>55</v>
      </c>
      <c r="H93" s="14" t="s">
        <v>491</v>
      </c>
      <c r="J93" s="3"/>
    </row>
    <row r="94" spans="1:10" x14ac:dyDescent="0.2">
      <c r="A94" t="s">
        <v>107</v>
      </c>
      <c r="B94" s="14" t="s">
        <v>492</v>
      </c>
      <c r="C94" t="s">
        <v>546</v>
      </c>
      <c r="D94" s="1">
        <v>38.353679656982422</v>
      </c>
      <c r="H94" s="14" t="s">
        <v>492</v>
      </c>
      <c r="J94" s="3"/>
    </row>
    <row r="95" spans="1:10" x14ac:dyDescent="0.2">
      <c r="A95" t="s">
        <v>108</v>
      </c>
      <c r="B95" s="14" t="s">
        <v>493</v>
      </c>
      <c r="C95" t="s">
        <v>546</v>
      </c>
      <c r="D95" t="s">
        <v>55</v>
      </c>
      <c r="H95" s="14" t="s">
        <v>493</v>
      </c>
      <c r="J95" s="3"/>
    </row>
    <row r="96" spans="1:10" x14ac:dyDescent="0.2">
      <c r="A96" t="s">
        <v>109</v>
      </c>
      <c r="B96" s="14" t="s">
        <v>494</v>
      </c>
      <c r="C96" t="s">
        <v>546</v>
      </c>
      <c r="D96" t="s">
        <v>55</v>
      </c>
      <c r="H96" s="14" t="s">
        <v>494</v>
      </c>
      <c r="J96" s="3"/>
    </row>
    <row r="97" spans="1:10" x14ac:dyDescent="0.2">
      <c r="A97" t="s">
        <v>110</v>
      </c>
      <c r="B97" s="14" t="s">
        <v>495</v>
      </c>
      <c r="C97" t="s">
        <v>546</v>
      </c>
      <c r="D97" t="s">
        <v>55</v>
      </c>
      <c r="H97" s="14" t="s">
        <v>495</v>
      </c>
      <c r="J97" s="3"/>
    </row>
    <row r="98" spans="1:10" x14ac:dyDescent="0.2">
      <c r="A98" t="s">
        <v>111</v>
      </c>
      <c r="B98" s="14" t="s">
        <v>496</v>
      </c>
      <c r="C98" t="s">
        <v>546</v>
      </c>
      <c r="D98" t="s">
        <v>55</v>
      </c>
      <c r="H98" s="14" t="s">
        <v>496</v>
      </c>
      <c r="J98" s="3"/>
    </row>
    <row r="99" spans="1:10" x14ac:dyDescent="0.2">
      <c r="A99" t="s">
        <v>112</v>
      </c>
      <c r="B99" s="14" t="s">
        <v>497</v>
      </c>
      <c r="C99" t="s">
        <v>546</v>
      </c>
      <c r="D99" t="s">
        <v>55</v>
      </c>
      <c r="H99" s="14" t="s">
        <v>497</v>
      </c>
      <c r="J99" s="3"/>
    </row>
    <row r="100" spans="1:10" x14ac:dyDescent="0.2">
      <c r="A100" t="s">
        <v>113</v>
      </c>
      <c r="B100" s="14" t="s">
        <v>498</v>
      </c>
      <c r="C100" t="s">
        <v>546</v>
      </c>
      <c r="D100" t="s">
        <v>55</v>
      </c>
      <c r="H100" s="14" t="s">
        <v>498</v>
      </c>
      <c r="J100" s="3"/>
    </row>
    <row r="101" spans="1:10" x14ac:dyDescent="0.2">
      <c r="A101" t="s">
        <v>114</v>
      </c>
      <c r="B101" s="14" t="s">
        <v>499</v>
      </c>
      <c r="C101" t="s">
        <v>546</v>
      </c>
      <c r="D101" t="s">
        <v>55</v>
      </c>
      <c r="H101" s="14" t="s">
        <v>499</v>
      </c>
      <c r="J101" s="3"/>
    </row>
    <row r="102" spans="1:10" x14ac:dyDescent="0.2">
      <c r="A102" t="s">
        <v>115</v>
      </c>
      <c r="B102" s="14" t="s">
        <v>500</v>
      </c>
      <c r="C102" t="s">
        <v>546</v>
      </c>
      <c r="D102" t="s">
        <v>55</v>
      </c>
      <c r="H102" s="14" t="s">
        <v>500</v>
      </c>
      <c r="J102" s="3"/>
    </row>
    <row r="103" spans="1:10" x14ac:dyDescent="0.2">
      <c r="A103" t="s">
        <v>116</v>
      </c>
      <c r="B103" s="14" t="s">
        <v>501</v>
      </c>
      <c r="C103" t="s">
        <v>546</v>
      </c>
      <c r="D103" t="s">
        <v>55</v>
      </c>
      <c r="H103" s="14" t="s">
        <v>501</v>
      </c>
      <c r="J103" s="3"/>
    </row>
    <row r="104" spans="1:10" x14ac:dyDescent="0.2">
      <c r="A104" t="s">
        <v>117</v>
      </c>
      <c r="B104" s="14" t="s">
        <v>502</v>
      </c>
      <c r="C104" t="s">
        <v>546</v>
      </c>
      <c r="D104" s="1">
        <v>38.40435791015625</v>
      </c>
      <c r="H104" s="14" t="s">
        <v>502</v>
      </c>
      <c r="J104" s="3"/>
    </row>
    <row r="105" spans="1:10" x14ac:dyDescent="0.2">
      <c r="A105" t="s">
        <v>118</v>
      </c>
      <c r="B105" s="14" t="s">
        <v>503</v>
      </c>
      <c r="C105" t="s">
        <v>546</v>
      </c>
      <c r="D105" t="s">
        <v>55</v>
      </c>
      <c r="H105" s="14" t="s">
        <v>503</v>
      </c>
      <c r="J105" s="3"/>
    </row>
    <row r="106" spans="1:10" x14ac:dyDescent="0.2">
      <c r="A106" t="s">
        <v>119</v>
      </c>
      <c r="B106" s="14" t="s">
        <v>504</v>
      </c>
      <c r="C106" t="s">
        <v>546</v>
      </c>
      <c r="D106" t="s">
        <v>55</v>
      </c>
      <c r="H106" s="14" t="s">
        <v>504</v>
      </c>
      <c r="J106" s="3"/>
    </row>
    <row r="107" spans="1:10" x14ac:dyDescent="0.2">
      <c r="A107" t="s">
        <v>120</v>
      </c>
      <c r="B107" s="14" t="s">
        <v>505</v>
      </c>
      <c r="C107" t="s">
        <v>546</v>
      </c>
      <c r="D107" t="s">
        <v>55</v>
      </c>
      <c r="H107" s="14" t="s">
        <v>505</v>
      </c>
      <c r="J107" s="3"/>
    </row>
    <row r="108" spans="1:10" x14ac:dyDescent="0.2">
      <c r="A108" t="s">
        <v>121</v>
      </c>
      <c r="B108" s="14" t="s">
        <v>506</v>
      </c>
      <c r="C108" t="s">
        <v>546</v>
      </c>
      <c r="D108" s="1">
        <v>37.267616271972656</v>
      </c>
      <c r="H108" s="14" t="s">
        <v>506</v>
      </c>
      <c r="J108" s="3"/>
    </row>
    <row r="109" spans="1:10" x14ac:dyDescent="0.2">
      <c r="A109" t="s">
        <v>122</v>
      </c>
      <c r="B109" s="14" t="s">
        <v>507</v>
      </c>
      <c r="C109" t="s">
        <v>546</v>
      </c>
      <c r="D109" t="s">
        <v>55</v>
      </c>
      <c r="H109" s="14" t="s">
        <v>507</v>
      </c>
      <c r="J109" s="3"/>
    </row>
    <row r="110" spans="1:10" x14ac:dyDescent="0.2">
      <c r="A110" t="s">
        <v>123</v>
      </c>
      <c r="B110" s="14" t="s">
        <v>508</v>
      </c>
      <c r="C110" t="s">
        <v>546</v>
      </c>
      <c r="D110" t="s">
        <v>55</v>
      </c>
      <c r="H110" s="14" t="s">
        <v>508</v>
      </c>
      <c r="J110" s="3"/>
    </row>
    <row r="111" spans="1:10" x14ac:dyDescent="0.2">
      <c r="A111" t="s">
        <v>124</v>
      </c>
      <c r="B111" s="14" t="s">
        <v>509</v>
      </c>
      <c r="C111" t="s">
        <v>546</v>
      </c>
      <c r="D111" t="s">
        <v>55</v>
      </c>
      <c r="H111" s="14" t="s">
        <v>509</v>
      </c>
    </row>
    <row r="112" spans="1:10" x14ac:dyDescent="0.2">
      <c r="A112" t="s">
        <v>125</v>
      </c>
      <c r="B112" s="14" t="s">
        <v>510</v>
      </c>
      <c r="C112" t="s">
        <v>546</v>
      </c>
      <c r="D112" t="s">
        <v>55</v>
      </c>
      <c r="H112" s="14" t="s">
        <v>510</v>
      </c>
    </row>
    <row r="113" spans="1:8" x14ac:dyDescent="0.2">
      <c r="A113" t="s">
        <v>126</v>
      </c>
      <c r="B113" s="14" t="s">
        <v>511</v>
      </c>
      <c r="C113" t="s">
        <v>546</v>
      </c>
      <c r="D113" t="s">
        <v>55</v>
      </c>
      <c r="H113" s="14" t="s">
        <v>511</v>
      </c>
    </row>
    <row r="114" spans="1:8" x14ac:dyDescent="0.2">
      <c r="A114" t="s">
        <v>127</v>
      </c>
      <c r="B114" s="14" t="s">
        <v>512</v>
      </c>
      <c r="C114" t="s">
        <v>546</v>
      </c>
      <c r="D114" t="s">
        <v>55</v>
      </c>
      <c r="H114" s="14" t="s">
        <v>512</v>
      </c>
    </row>
    <row r="115" spans="1:8" x14ac:dyDescent="0.2">
      <c r="A115" t="s">
        <v>128</v>
      </c>
      <c r="B115" s="14" t="s">
        <v>513</v>
      </c>
      <c r="C115" t="s">
        <v>546</v>
      </c>
      <c r="D115" t="s">
        <v>55</v>
      </c>
      <c r="H115" s="14" t="s">
        <v>513</v>
      </c>
    </row>
    <row r="116" spans="1:8" x14ac:dyDescent="0.2">
      <c r="A116" t="s">
        <v>129</v>
      </c>
      <c r="B116" s="14" t="s">
        <v>514</v>
      </c>
      <c r="C116" t="s">
        <v>546</v>
      </c>
      <c r="D116" t="s">
        <v>55</v>
      </c>
      <c r="H116" s="14" t="s">
        <v>514</v>
      </c>
    </row>
    <row r="117" spans="1:8" x14ac:dyDescent="0.2">
      <c r="A117" t="s">
        <v>130</v>
      </c>
      <c r="B117" s="14" t="s">
        <v>515</v>
      </c>
      <c r="C117" t="s">
        <v>546</v>
      </c>
      <c r="D117" s="1">
        <v>37.118560791015625</v>
      </c>
      <c r="H117" s="14" t="s">
        <v>515</v>
      </c>
    </row>
    <row r="118" spans="1:8" x14ac:dyDescent="0.2">
      <c r="A118" t="s">
        <v>131</v>
      </c>
      <c r="B118" s="14" t="s">
        <v>516</v>
      </c>
      <c r="C118" t="s">
        <v>546</v>
      </c>
      <c r="D118" t="s">
        <v>55</v>
      </c>
      <c r="H118" s="14" t="s">
        <v>516</v>
      </c>
    </row>
    <row r="119" spans="1:8" x14ac:dyDescent="0.2">
      <c r="A119" t="s">
        <v>132</v>
      </c>
      <c r="B119" s="14" t="s">
        <v>517</v>
      </c>
      <c r="C119" t="s">
        <v>546</v>
      </c>
      <c r="D119" s="1">
        <v>38.204395294189453</v>
      </c>
      <c r="H119" s="14" t="s">
        <v>517</v>
      </c>
    </row>
    <row r="120" spans="1:8" x14ac:dyDescent="0.2">
      <c r="A120" t="s">
        <v>133</v>
      </c>
      <c r="B120" s="14" t="s">
        <v>518</v>
      </c>
      <c r="C120" t="s">
        <v>546</v>
      </c>
      <c r="D120" t="s">
        <v>55</v>
      </c>
      <c r="H120" s="14" t="s">
        <v>518</v>
      </c>
    </row>
    <row r="121" spans="1:8" x14ac:dyDescent="0.2">
      <c r="A121" t="s">
        <v>134</v>
      </c>
      <c r="B121" s="14" t="s">
        <v>519</v>
      </c>
      <c r="C121" t="s">
        <v>546</v>
      </c>
      <c r="D121" t="s">
        <v>55</v>
      </c>
      <c r="H121" s="14" t="s">
        <v>519</v>
      </c>
    </row>
    <row r="122" spans="1:8" x14ac:dyDescent="0.2">
      <c r="A122" t="s">
        <v>135</v>
      </c>
      <c r="B122" s="14" t="s">
        <v>520</v>
      </c>
      <c r="C122" t="s">
        <v>546</v>
      </c>
      <c r="D122" t="s">
        <v>55</v>
      </c>
      <c r="H122" s="14" t="s">
        <v>520</v>
      </c>
    </row>
    <row r="123" spans="1:8" x14ac:dyDescent="0.2">
      <c r="A123" t="s">
        <v>136</v>
      </c>
      <c r="B123" s="14" t="s">
        <v>521</v>
      </c>
      <c r="C123" t="s">
        <v>546</v>
      </c>
      <c r="D123" t="s">
        <v>55</v>
      </c>
      <c r="H123" s="14" t="s">
        <v>521</v>
      </c>
    </row>
    <row r="124" spans="1:8" x14ac:dyDescent="0.2">
      <c r="A124" t="s">
        <v>137</v>
      </c>
      <c r="B124" s="14" t="s">
        <v>522</v>
      </c>
      <c r="C124" t="s">
        <v>546</v>
      </c>
      <c r="D124" t="s">
        <v>55</v>
      </c>
      <c r="H124" s="14" t="s">
        <v>522</v>
      </c>
    </row>
    <row r="125" spans="1:8" x14ac:dyDescent="0.2">
      <c r="A125" t="s">
        <v>138</v>
      </c>
      <c r="B125" s="14" t="s">
        <v>523</v>
      </c>
      <c r="C125" t="s">
        <v>546</v>
      </c>
      <c r="D125" s="1">
        <v>37.281185150146484</v>
      </c>
      <c r="H125" s="14" t="s">
        <v>523</v>
      </c>
    </row>
    <row r="126" spans="1:8" x14ac:dyDescent="0.2">
      <c r="A126" t="s">
        <v>139</v>
      </c>
      <c r="B126" s="14" t="s">
        <v>524</v>
      </c>
      <c r="C126" t="s">
        <v>546</v>
      </c>
      <c r="D126" t="s">
        <v>55</v>
      </c>
      <c r="H126" s="14" t="s">
        <v>524</v>
      </c>
    </row>
    <row r="127" spans="1:8" x14ac:dyDescent="0.2">
      <c r="A127" t="s">
        <v>140</v>
      </c>
      <c r="B127" s="14" t="s">
        <v>525</v>
      </c>
      <c r="C127" t="s">
        <v>546</v>
      </c>
      <c r="D127" t="s">
        <v>55</v>
      </c>
      <c r="H127" s="14" t="s">
        <v>525</v>
      </c>
    </row>
    <row r="128" spans="1:8" x14ac:dyDescent="0.2">
      <c r="A128" t="s">
        <v>141</v>
      </c>
      <c r="B128" s="14" t="s">
        <v>526</v>
      </c>
      <c r="C128" t="s">
        <v>546</v>
      </c>
      <c r="D128" t="s">
        <v>55</v>
      </c>
      <c r="H128" s="14" t="s">
        <v>526</v>
      </c>
    </row>
    <row r="129" spans="1:8" x14ac:dyDescent="0.2">
      <c r="A129" t="s">
        <v>142</v>
      </c>
      <c r="B129" s="14" t="s">
        <v>527</v>
      </c>
      <c r="C129" t="s">
        <v>546</v>
      </c>
      <c r="D129" t="s">
        <v>55</v>
      </c>
      <c r="H129" s="14" t="s">
        <v>527</v>
      </c>
    </row>
    <row r="130" spans="1:8" x14ac:dyDescent="0.2">
      <c r="A130" t="s">
        <v>143</v>
      </c>
      <c r="B130" s="14" t="s">
        <v>528</v>
      </c>
      <c r="C130" t="s">
        <v>546</v>
      </c>
      <c r="D130" t="s">
        <v>55</v>
      </c>
      <c r="H130" s="14" t="s">
        <v>528</v>
      </c>
    </row>
    <row r="131" spans="1:8" x14ac:dyDescent="0.2">
      <c r="A131" t="s">
        <v>144</v>
      </c>
      <c r="B131" s="14" t="s">
        <v>529</v>
      </c>
      <c r="C131" t="s">
        <v>546</v>
      </c>
      <c r="D131" s="1">
        <v>38.312797546386719</v>
      </c>
      <c r="H131" s="14" t="s">
        <v>529</v>
      </c>
    </row>
    <row r="132" spans="1:8" x14ac:dyDescent="0.2">
      <c r="A132" t="s">
        <v>145</v>
      </c>
      <c r="B132" s="14" t="s">
        <v>530</v>
      </c>
      <c r="C132" t="s">
        <v>546</v>
      </c>
      <c r="D132" t="s">
        <v>55</v>
      </c>
      <c r="H132" s="14" t="s">
        <v>530</v>
      </c>
    </row>
    <row r="133" spans="1:8" x14ac:dyDescent="0.2">
      <c r="A133" t="s">
        <v>146</v>
      </c>
      <c r="B133" s="14" t="s">
        <v>531</v>
      </c>
      <c r="C133" t="s">
        <v>546</v>
      </c>
      <c r="D133" t="s">
        <v>55</v>
      </c>
      <c r="H133" s="14" t="s">
        <v>531</v>
      </c>
    </row>
    <row r="134" spans="1:8" x14ac:dyDescent="0.2">
      <c r="A134" t="s">
        <v>147</v>
      </c>
      <c r="B134" s="14" t="s">
        <v>532</v>
      </c>
      <c r="C134" t="s">
        <v>546</v>
      </c>
      <c r="D134" s="1">
        <v>38.227848052978516</v>
      </c>
      <c r="H134" s="14" t="s">
        <v>532</v>
      </c>
    </row>
    <row r="135" spans="1:8" x14ac:dyDescent="0.2">
      <c r="A135" t="s">
        <v>148</v>
      </c>
      <c r="B135" s="14" t="s">
        <v>533</v>
      </c>
      <c r="C135" t="s">
        <v>546</v>
      </c>
      <c r="D135" t="s">
        <v>55</v>
      </c>
      <c r="H135" s="14" t="s">
        <v>533</v>
      </c>
    </row>
    <row r="136" spans="1:8" x14ac:dyDescent="0.2">
      <c r="A136" t="s">
        <v>149</v>
      </c>
      <c r="B136" s="14" t="s">
        <v>534</v>
      </c>
      <c r="C136" t="s">
        <v>546</v>
      </c>
      <c r="D136" s="1">
        <v>37.815887451171875</v>
      </c>
      <c r="H136" s="14" t="s">
        <v>534</v>
      </c>
    </row>
    <row r="137" spans="1:8" x14ac:dyDescent="0.2">
      <c r="A137" t="s">
        <v>150</v>
      </c>
      <c r="B137" s="14" t="s">
        <v>535</v>
      </c>
      <c r="C137" t="s">
        <v>546</v>
      </c>
      <c r="D137" t="s">
        <v>55</v>
      </c>
      <c r="H137" s="14" t="s">
        <v>535</v>
      </c>
    </row>
    <row r="138" spans="1:8" x14ac:dyDescent="0.2">
      <c r="A138" t="s">
        <v>151</v>
      </c>
      <c r="B138" s="14" t="s">
        <v>536</v>
      </c>
      <c r="C138" t="s">
        <v>546</v>
      </c>
      <c r="D138" s="1">
        <v>38.349628448486328</v>
      </c>
      <c r="H138" s="14" t="s">
        <v>536</v>
      </c>
    </row>
    <row r="139" spans="1:8" x14ac:dyDescent="0.2">
      <c r="A139" t="s">
        <v>152</v>
      </c>
      <c r="B139" s="14" t="s">
        <v>537</v>
      </c>
      <c r="C139" t="s">
        <v>546</v>
      </c>
      <c r="D139" t="s">
        <v>55</v>
      </c>
      <c r="H139" s="14" t="s">
        <v>537</v>
      </c>
    </row>
    <row r="140" spans="1:8" x14ac:dyDescent="0.2">
      <c r="A140" t="s">
        <v>153</v>
      </c>
      <c r="B140" s="14" t="s">
        <v>538</v>
      </c>
      <c r="C140" t="s">
        <v>546</v>
      </c>
      <c r="D140" t="s">
        <v>55</v>
      </c>
      <c r="H140" s="14" t="s">
        <v>538</v>
      </c>
    </row>
    <row r="141" spans="1:8" x14ac:dyDescent="0.2">
      <c r="A141" t="s">
        <v>154</v>
      </c>
      <c r="B141" s="14" t="s">
        <v>539</v>
      </c>
      <c r="C141" t="s">
        <v>546</v>
      </c>
      <c r="D141" s="1">
        <v>37.092201232910156</v>
      </c>
      <c r="H141" s="14" t="s">
        <v>539</v>
      </c>
    </row>
    <row r="142" spans="1:8" x14ac:dyDescent="0.2">
      <c r="A142" t="s">
        <v>155</v>
      </c>
      <c r="B142" s="14" t="s">
        <v>540</v>
      </c>
      <c r="C142" t="s">
        <v>546</v>
      </c>
      <c r="D142" s="1">
        <v>38.235160827636719</v>
      </c>
      <c r="H142" s="14" t="s">
        <v>540</v>
      </c>
    </row>
    <row r="143" spans="1:8" x14ac:dyDescent="0.2">
      <c r="A143" t="s">
        <v>156</v>
      </c>
      <c r="B143" s="14" t="s">
        <v>541</v>
      </c>
      <c r="C143" t="s">
        <v>546</v>
      </c>
      <c r="D143" t="s">
        <v>55</v>
      </c>
      <c r="H143" s="14" t="s">
        <v>541</v>
      </c>
    </row>
    <row r="144" spans="1:8" x14ac:dyDescent="0.2">
      <c r="A144" t="s">
        <v>157</v>
      </c>
      <c r="B144" s="3" t="s">
        <v>457</v>
      </c>
      <c r="C144" t="s">
        <v>546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546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546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546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546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546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546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546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546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546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546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546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546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546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546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546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546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546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547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547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547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547</v>
      </c>
      <c r="D165" s="1">
        <v>26.340841293334961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547</v>
      </c>
      <c r="D166" s="1">
        <v>25.656772613525391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547</v>
      </c>
      <c r="D167" s="1">
        <v>26.294534683227539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547</v>
      </c>
      <c r="D168" s="1">
        <v>27.157211303710938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547</v>
      </c>
      <c r="D169" s="1">
        <v>27.155082702636719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547</v>
      </c>
      <c r="D170" s="1">
        <v>26.654487609863281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547</v>
      </c>
      <c r="D171" s="1">
        <v>28.242462158203125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547</v>
      </c>
      <c r="D172" s="1">
        <v>28.137451171875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547</v>
      </c>
      <c r="D173" s="1">
        <v>28.250581741333008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547</v>
      </c>
      <c r="D174" s="1">
        <v>29.049842834472656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547</v>
      </c>
      <c r="D175" s="1">
        <v>29.407560348510742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547</v>
      </c>
      <c r="D176" s="1">
        <v>29.172149658203125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547</v>
      </c>
      <c r="D177" s="1">
        <v>30.547342300415039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547</v>
      </c>
      <c r="D178" s="1">
        <v>30.527589797973633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547</v>
      </c>
      <c r="D179" s="1">
        <v>30.393932342529297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547</v>
      </c>
      <c r="D180" s="1">
        <v>31.644254684448242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547</v>
      </c>
      <c r="D181" s="1">
        <v>31.664585113525391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547</v>
      </c>
      <c r="D182" s="1">
        <v>31.935979843139648</v>
      </c>
      <c r="H182" s="3" t="s">
        <v>435</v>
      </c>
    </row>
    <row r="183" spans="1:8" x14ac:dyDescent="0.2">
      <c r="A183" t="s">
        <v>196</v>
      </c>
      <c r="B183" s="14" t="s">
        <v>461</v>
      </c>
      <c r="C183" t="s">
        <v>547</v>
      </c>
      <c r="D183" s="1">
        <v>28.120441436767578</v>
      </c>
      <c r="H183" s="14" t="s">
        <v>461</v>
      </c>
    </row>
    <row r="184" spans="1:8" x14ac:dyDescent="0.2">
      <c r="A184" t="s">
        <v>197</v>
      </c>
      <c r="B184" s="14" t="s">
        <v>462</v>
      </c>
      <c r="C184" t="s">
        <v>547</v>
      </c>
      <c r="D184" s="1">
        <v>28.035480499267578</v>
      </c>
      <c r="H184" s="14" t="s">
        <v>462</v>
      </c>
    </row>
    <row r="185" spans="1:8" x14ac:dyDescent="0.2">
      <c r="A185" t="s">
        <v>198</v>
      </c>
      <c r="B185" s="14" t="s">
        <v>463</v>
      </c>
      <c r="C185" t="s">
        <v>547</v>
      </c>
      <c r="D185" s="1">
        <v>28.004388809204102</v>
      </c>
      <c r="H185" s="14" t="s">
        <v>463</v>
      </c>
    </row>
    <row r="186" spans="1:8" x14ac:dyDescent="0.2">
      <c r="A186" t="s">
        <v>199</v>
      </c>
      <c r="B186" s="14" t="s">
        <v>464</v>
      </c>
      <c r="C186" t="s">
        <v>547</v>
      </c>
      <c r="D186" s="1">
        <v>28.373489379882813</v>
      </c>
      <c r="H186" s="14" t="s">
        <v>464</v>
      </c>
    </row>
    <row r="187" spans="1:8" x14ac:dyDescent="0.2">
      <c r="A187" t="s">
        <v>200</v>
      </c>
      <c r="B187" s="14" t="s">
        <v>465</v>
      </c>
      <c r="C187" t="s">
        <v>547</v>
      </c>
      <c r="D187" s="1">
        <v>28.175045013427734</v>
      </c>
      <c r="H187" s="14" t="s">
        <v>465</v>
      </c>
    </row>
    <row r="188" spans="1:8" x14ac:dyDescent="0.2">
      <c r="A188" t="s">
        <v>201</v>
      </c>
      <c r="B188" s="14" t="s">
        <v>466</v>
      </c>
      <c r="C188" t="s">
        <v>547</v>
      </c>
      <c r="D188" s="1">
        <v>28.294151306152344</v>
      </c>
      <c r="H188" s="14" t="s">
        <v>466</v>
      </c>
    </row>
    <row r="189" spans="1:8" x14ac:dyDescent="0.2">
      <c r="A189" t="s">
        <v>202</v>
      </c>
      <c r="B189" s="14" t="s">
        <v>467</v>
      </c>
      <c r="C189" t="s">
        <v>547</v>
      </c>
      <c r="D189" s="1">
        <v>28.232669830322266</v>
      </c>
      <c r="H189" s="14" t="s">
        <v>467</v>
      </c>
    </row>
    <row r="190" spans="1:8" x14ac:dyDescent="0.2">
      <c r="A190" t="s">
        <v>203</v>
      </c>
      <c r="B190" s="14" t="s">
        <v>468</v>
      </c>
      <c r="C190" t="s">
        <v>547</v>
      </c>
      <c r="D190" s="1">
        <v>28.359502792358398</v>
      </c>
      <c r="H190" s="14" t="s">
        <v>468</v>
      </c>
    </row>
    <row r="191" spans="1:8" x14ac:dyDescent="0.2">
      <c r="A191" t="s">
        <v>204</v>
      </c>
      <c r="B191" s="14" t="s">
        <v>469</v>
      </c>
      <c r="C191" t="s">
        <v>547</v>
      </c>
      <c r="D191" s="1">
        <v>28.196367263793945</v>
      </c>
      <c r="H191" s="14" t="s">
        <v>469</v>
      </c>
    </row>
    <row r="192" spans="1:8" x14ac:dyDescent="0.2">
      <c r="A192" t="s">
        <v>205</v>
      </c>
      <c r="B192" s="14" t="s">
        <v>470</v>
      </c>
      <c r="C192" t="s">
        <v>547</v>
      </c>
      <c r="D192" s="1">
        <v>27.964836120605469</v>
      </c>
      <c r="H192" s="14" t="s">
        <v>470</v>
      </c>
    </row>
    <row r="193" spans="1:8" x14ac:dyDescent="0.2">
      <c r="A193" t="s">
        <v>206</v>
      </c>
      <c r="B193" s="14" t="s">
        <v>471</v>
      </c>
      <c r="C193" t="s">
        <v>547</v>
      </c>
      <c r="D193" s="1">
        <v>28.267662048339844</v>
      </c>
      <c r="H193" s="14" t="s">
        <v>471</v>
      </c>
    </row>
    <row r="194" spans="1:8" x14ac:dyDescent="0.2">
      <c r="A194" t="s">
        <v>207</v>
      </c>
      <c r="B194" s="14" t="s">
        <v>472</v>
      </c>
      <c r="C194" t="s">
        <v>547</v>
      </c>
      <c r="D194" s="1">
        <v>28.247621536254883</v>
      </c>
      <c r="H194" s="14" t="s">
        <v>472</v>
      </c>
    </row>
    <row r="195" spans="1:8" x14ac:dyDescent="0.2">
      <c r="A195" t="s">
        <v>208</v>
      </c>
      <c r="B195" s="14" t="s">
        <v>473</v>
      </c>
      <c r="C195" t="s">
        <v>547</v>
      </c>
      <c r="D195" s="1">
        <v>28.554746627807617</v>
      </c>
      <c r="H195" s="14" t="s">
        <v>473</v>
      </c>
    </row>
    <row r="196" spans="1:8" x14ac:dyDescent="0.2">
      <c r="A196" t="s">
        <v>209</v>
      </c>
      <c r="B196" s="14" t="s">
        <v>474</v>
      </c>
      <c r="C196" t="s">
        <v>547</v>
      </c>
      <c r="D196" s="1">
        <v>28.866292953491211</v>
      </c>
      <c r="H196" s="14" t="s">
        <v>474</v>
      </c>
    </row>
    <row r="197" spans="1:8" x14ac:dyDescent="0.2">
      <c r="A197" t="s">
        <v>210</v>
      </c>
      <c r="B197" s="14" t="s">
        <v>475</v>
      </c>
      <c r="C197" t="s">
        <v>547</v>
      </c>
      <c r="D197" s="1">
        <v>28.597305297851563</v>
      </c>
      <c r="H197" s="14" t="s">
        <v>475</v>
      </c>
    </row>
    <row r="198" spans="1:8" x14ac:dyDescent="0.2">
      <c r="A198" t="s">
        <v>211</v>
      </c>
      <c r="B198" s="14" t="s">
        <v>476</v>
      </c>
      <c r="C198" t="s">
        <v>547</v>
      </c>
      <c r="D198" s="1">
        <v>28.112768173217773</v>
      </c>
      <c r="H198" s="14" t="s">
        <v>476</v>
      </c>
    </row>
    <row r="199" spans="1:8" x14ac:dyDescent="0.2">
      <c r="A199" t="s">
        <v>212</v>
      </c>
      <c r="B199" s="14" t="s">
        <v>477</v>
      </c>
      <c r="C199" t="s">
        <v>547</v>
      </c>
      <c r="D199" s="1">
        <v>28.395771026611328</v>
      </c>
      <c r="H199" s="14" t="s">
        <v>477</v>
      </c>
    </row>
    <row r="200" spans="1:8" x14ac:dyDescent="0.2">
      <c r="A200" t="s">
        <v>213</v>
      </c>
      <c r="B200" s="14" t="s">
        <v>478</v>
      </c>
      <c r="C200" t="s">
        <v>547</v>
      </c>
      <c r="D200" s="1">
        <v>28.06041145324707</v>
      </c>
      <c r="H200" s="14" t="s">
        <v>478</v>
      </c>
    </row>
    <row r="201" spans="1:8" x14ac:dyDescent="0.2">
      <c r="A201" t="s">
        <v>214</v>
      </c>
      <c r="B201" s="14" t="s">
        <v>479</v>
      </c>
      <c r="C201" t="s">
        <v>547</v>
      </c>
      <c r="D201" s="1">
        <v>28.364028930664063</v>
      </c>
      <c r="H201" s="14" t="s">
        <v>479</v>
      </c>
    </row>
    <row r="202" spans="1:8" x14ac:dyDescent="0.2">
      <c r="A202" t="s">
        <v>215</v>
      </c>
      <c r="B202" s="14" t="s">
        <v>480</v>
      </c>
      <c r="C202" t="s">
        <v>547</v>
      </c>
      <c r="D202" s="1">
        <v>28.160060882568359</v>
      </c>
      <c r="H202" s="14" t="s">
        <v>480</v>
      </c>
    </row>
    <row r="203" spans="1:8" x14ac:dyDescent="0.2">
      <c r="A203" t="s">
        <v>216</v>
      </c>
      <c r="B203" s="14" t="s">
        <v>481</v>
      </c>
      <c r="C203" t="s">
        <v>547</v>
      </c>
      <c r="D203" s="1">
        <v>28.384458541870117</v>
      </c>
      <c r="H203" s="14" t="s">
        <v>481</v>
      </c>
    </row>
    <row r="204" spans="1:8" x14ac:dyDescent="0.2">
      <c r="A204" t="s">
        <v>217</v>
      </c>
      <c r="B204" s="14" t="s">
        <v>482</v>
      </c>
      <c r="C204" t="s">
        <v>547</v>
      </c>
      <c r="D204" s="1">
        <v>28.554712295532227</v>
      </c>
      <c r="H204" s="14" t="s">
        <v>482</v>
      </c>
    </row>
    <row r="205" spans="1:8" x14ac:dyDescent="0.2">
      <c r="A205" t="s">
        <v>218</v>
      </c>
      <c r="B205" s="14" t="s">
        <v>483</v>
      </c>
      <c r="C205" t="s">
        <v>547</v>
      </c>
      <c r="D205" s="1">
        <v>28.326005935668945</v>
      </c>
      <c r="H205" s="14" t="s">
        <v>483</v>
      </c>
    </row>
    <row r="206" spans="1:8" x14ac:dyDescent="0.2">
      <c r="A206" t="s">
        <v>219</v>
      </c>
      <c r="B206" s="14" t="s">
        <v>484</v>
      </c>
      <c r="C206" t="s">
        <v>547</v>
      </c>
      <c r="D206" s="1">
        <v>28.54364013671875</v>
      </c>
      <c r="H206" s="14" t="s">
        <v>484</v>
      </c>
    </row>
    <row r="207" spans="1:8" x14ac:dyDescent="0.2">
      <c r="A207" t="s">
        <v>220</v>
      </c>
      <c r="B207" s="14" t="s">
        <v>485</v>
      </c>
      <c r="C207" t="s">
        <v>547</v>
      </c>
      <c r="D207" s="1">
        <v>28.173254013061523</v>
      </c>
      <c r="H207" s="14" t="s">
        <v>485</v>
      </c>
    </row>
    <row r="208" spans="1:8" x14ac:dyDescent="0.2">
      <c r="A208" t="s">
        <v>221</v>
      </c>
      <c r="B208" s="14" t="s">
        <v>486</v>
      </c>
      <c r="C208" t="s">
        <v>547</v>
      </c>
      <c r="D208" s="1">
        <v>28.239192962646484</v>
      </c>
      <c r="H208" s="14" t="s">
        <v>486</v>
      </c>
    </row>
    <row r="209" spans="1:8" x14ac:dyDescent="0.2">
      <c r="A209" t="s">
        <v>222</v>
      </c>
      <c r="B209" s="14" t="s">
        <v>487</v>
      </c>
      <c r="C209" t="s">
        <v>547</v>
      </c>
      <c r="D209" s="1">
        <v>28.139453887939453</v>
      </c>
      <c r="H209" s="14" t="s">
        <v>487</v>
      </c>
    </row>
    <row r="210" spans="1:8" x14ac:dyDescent="0.2">
      <c r="A210" t="s">
        <v>223</v>
      </c>
      <c r="B210" s="14" t="s">
        <v>488</v>
      </c>
      <c r="C210" t="s">
        <v>547</v>
      </c>
      <c r="D210" s="1">
        <v>27.798744201660156</v>
      </c>
      <c r="H210" s="14" t="s">
        <v>488</v>
      </c>
    </row>
    <row r="211" spans="1:8" x14ac:dyDescent="0.2">
      <c r="A211" t="s">
        <v>224</v>
      </c>
      <c r="B211" s="14" t="s">
        <v>489</v>
      </c>
      <c r="C211" t="s">
        <v>547</v>
      </c>
      <c r="D211" s="1">
        <v>27.747695922851563</v>
      </c>
      <c r="H211" s="14" t="s">
        <v>489</v>
      </c>
    </row>
    <row r="212" spans="1:8" x14ac:dyDescent="0.2">
      <c r="A212" t="s">
        <v>225</v>
      </c>
      <c r="B212" s="14" t="s">
        <v>490</v>
      </c>
      <c r="C212" t="s">
        <v>547</v>
      </c>
      <c r="D212" s="1">
        <v>27.569705963134766</v>
      </c>
      <c r="H212" s="14" t="s">
        <v>490</v>
      </c>
    </row>
    <row r="213" spans="1:8" x14ac:dyDescent="0.2">
      <c r="A213" t="s">
        <v>226</v>
      </c>
      <c r="B213" s="14" t="s">
        <v>491</v>
      </c>
      <c r="C213" t="s">
        <v>547</v>
      </c>
      <c r="D213" s="1">
        <v>28.212928771972656</v>
      </c>
      <c r="H213" s="14" t="s">
        <v>491</v>
      </c>
    </row>
    <row r="214" spans="1:8" x14ac:dyDescent="0.2">
      <c r="A214" t="s">
        <v>227</v>
      </c>
      <c r="B214" s="14" t="s">
        <v>492</v>
      </c>
      <c r="C214" t="s">
        <v>547</v>
      </c>
      <c r="D214" s="1">
        <v>27.925561904907227</v>
      </c>
      <c r="H214" s="14" t="s">
        <v>492</v>
      </c>
    </row>
    <row r="215" spans="1:8" x14ac:dyDescent="0.2">
      <c r="A215" t="s">
        <v>228</v>
      </c>
      <c r="B215" s="14" t="s">
        <v>493</v>
      </c>
      <c r="C215" t="s">
        <v>547</v>
      </c>
      <c r="D215" s="1">
        <v>27.990583419799805</v>
      </c>
      <c r="H215" s="14" t="s">
        <v>493</v>
      </c>
    </row>
    <row r="216" spans="1:8" x14ac:dyDescent="0.2">
      <c r="A216" t="s">
        <v>229</v>
      </c>
      <c r="B216" s="14" t="s">
        <v>494</v>
      </c>
      <c r="C216" t="s">
        <v>547</v>
      </c>
      <c r="D216" s="1">
        <v>28.761957168579102</v>
      </c>
      <c r="H216" s="14" t="s">
        <v>494</v>
      </c>
    </row>
    <row r="217" spans="1:8" x14ac:dyDescent="0.2">
      <c r="A217" t="s">
        <v>230</v>
      </c>
      <c r="B217" s="14" t="s">
        <v>495</v>
      </c>
      <c r="C217" t="s">
        <v>547</v>
      </c>
      <c r="D217" s="1">
        <v>28.359033584594727</v>
      </c>
      <c r="H217" s="14" t="s">
        <v>495</v>
      </c>
    </row>
    <row r="218" spans="1:8" x14ac:dyDescent="0.2">
      <c r="A218" t="s">
        <v>231</v>
      </c>
      <c r="B218" s="14" t="s">
        <v>496</v>
      </c>
      <c r="C218" t="s">
        <v>547</v>
      </c>
      <c r="D218" s="1">
        <v>28.490655899047852</v>
      </c>
      <c r="H218" s="14" t="s">
        <v>496</v>
      </c>
    </row>
    <row r="219" spans="1:8" x14ac:dyDescent="0.2">
      <c r="A219" t="s">
        <v>232</v>
      </c>
      <c r="B219" s="14" t="s">
        <v>497</v>
      </c>
      <c r="C219" t="s">
        <v>547</v>
      </c>
      <c r="D219" s="1">
        <v>29.672574996948242</v>
      </c>
      <c r="H219" s="14" t="s">
        <v>497</v>
      </c>
    </row>
    <row r="220" spans="1:8" x14ac:dyDescent="0.2">
      <c r="A220" t="s">
        <v>233</v>
      </c>
      <c r="B220" s="14" t="s">
        <v>498</v>
      </c>
      <c r="C220" t="s">
        <v>547</v>
      </c>
      <c r="D220" s="1">
        <v>29.263565063476563</v>
      </c>
      <c r="H220" s="14" t="s">
        <v>498</v>
      </c>
    </row>
    <row r="221" spans="1:8" x14ac:dyDescent="0.2">
      <c r="A221" t="s">
        <v>234</v>
      </c>
      <c r="B221" s="14" t="s">
        <v>499</v>
      </c>
      <c r="C221" t="s">
        <v>547</v>
      </c>
      <c r="D221" s="1">
        <v>29.281600952148438</v>
      </c>
      <c r="H221" s="14" t="s">
        <v>499</v>
      </c>
    </row>
    <row r="222" spans="1:8" x14ac:dyDescent="0.2">
      <c r="A222" t="s">
        <v>235</v>
      </c>
      <c r="B222" s="14" t="s">
        <v>500</v>
      </c>
      <c r="C222" t="s">
        <v>547</v>
      </c>
      <c r="D222" s="1">
        <v>28.270542144775391</v>
      </c>
      <c r="H222" s="14" t="s">
        <v>500</v>
      </c>
    </row>
    <row r="223" spans="1:8" x14ac:dyDescent="0.2">
      <c r="A223" t="s">
        <v>236</v>
      </c>
      <c r="B223" s="14" t="s">
        <v>501</v>
      </c>
      <c r="C223" t="s">
        <v>547</v>
      </c>
      <c r="D223" s="1">
        <v>27.341293334960938</v>
      </c>
      <c r="H223" s="14" t="s">
        <v>501</v>
      </c>
    </row>
    <row r="224" spans="1:8" x14ac:dyDescent="0.2">
      <c r="A224" t="s">
        <v>237</v>
      </c>
      <c r="B224" s="14" t="s">
        <v>502</v>
      </c>
      <c r="C224" t="s">
        <v>547</v>
      </c>
      <c r="D224" s="1">
        <v>27.4000244140625</v>
      </c>
      <c r="H224" s="14" t="s">
        <v>502</v>
      </c>
    </row>
    <row r="225" spans="1:8" x14ac:dyDescent="0.2">
      <c r="A225" t="s">
        <v>238</v>
      </c>
      <c r="B225" s="14" t="s">
        <v>503</v>
      </c>
      <c r="C225" t="s">
        <v>547</v>
      </c>
      <c r="D225" s="1">
        <v>28.047760009765625</v>
      </c>
      <c r="H225" s="14" t="s">
        <v>503</v>
      </c>
    </row>
    <row r="226" spans="1:8" x14ac:dyDescent="0.2">
      <c r="A226" t="s">
        <v>239</v>
      </c>
      <c r="B226" s="14" t="s">
        <v>504</v>
      </c>
      <c r="C226" t="s">
        <v>547</v>
      </c>
      <c r="D226" s="1">
        <v>27.368623733520508</v>
      </c>
      <c r="H226" s="14" t="s">
        <v>504</v>
      </c>
    </row>
    <row r="227" spans="1:8" x14ac:dyDescent="0.2">
      <c r="A227" t="s">
        <v>240</v>
      </c>
      <c r="B227" s="14" t="s">
        <v>505</v>
      </c>
      <c r="C227" t="s">
        <v>547</v>
      </c>
      <c r="D227" s="1">
        <v>27.519998550415039</v>
      </c>
      <c r="H227" s="14" t="s">
        <v>505</v>
      </c>
    </row>
    <row r="228" spans="1:8" x14ac:dyDescent="0.2">
      <c r="A228" t="s">
        <v>241</v>
      </c>
      <c r="B228" s="14" t="s">
        <v>506</v>
      </c>
      <c r="C228" t="s">
        <v>547</v>
      </c>
      <c r="D228" s="1">
        <v>28.85746955871582</v>
      </c>
      <c r="H228" s="14" t="s">
        <v>506</v>
      </c>
    </row>
    <row r="229" spans="1:8" x14ac:dyDescent="0.2">
      <c r="A229" t="s">
        <v>242</v>
      </c>
      <c r="B229" s="14" t="s">
        <v>507</v>
      </c>
      <c r="C229" t="s">
        <v>547</v>
      </c>
      <c r="D229" s="1">
        <v>28.668212890625</v>
      </c>
      <c r="H229" s="14" t="s">
        <v>507</v>
      </c>
    </row>
    <row r="230" spans="1:8" x14ac:dyDescent="0.2">
      <c r="A230" t="s">
        <v>243</v>
      </c>
      <c r="B230" s="14" t="s">
        <v>508</v>
      </c>
      <c r="C230" t="s">
        <v>547</v>
      </c>
      <c r="D230" s="1">
        <v>28.67518424987793</v>
      </c>
      <c r="H230" s="14" t="s">
        <v>508</v>
      </c>
    </row>
    <row r="231" spans="1:8" x14ac:dyDescent="0.2">
      <c r="A231" t="s">
        <v>244</v>
      </c>
      <c r="B231" s="14" t="s">
        <v>509</v>
      </c>
      <c r="C231" t="s">
        <v>547</v>
      </c>
      <c r="D231" s="1">
        <v>29.472299575805664</v>
      </c>
      <c r="H231" s="14" t="s">
        <v>509</v>
      </c>
    </row>
    <row r="232" spans="1:8" x14ac:dyDescent="0.2">
      <c r="A232" t="s">
        <v>245</v>
      </c>
      <c r="B232" s="14" t="s">
        <v>510</v>
      </c>
      <c r="C232" t="s">
        <v>547</v>
      </c>
      <c r="D232" s="1">
        <v>28.98975944519043</v>
      </c>
      <c r="H232" s="14" t="s">
        <v>510</v>
      </c>
    </row>
    <row r="233" spans="1:8" x14ac:dyDescent="0.2">
      <c r="A233" t="s">
        <v>246</v>
      </c>
      <c r="B233" s="14" t="s">
        <v>511</v>
      </c>
      <c r="C233" t="s">
        <v>547</v>
      </c>
      <c r="D233" s="1">
        <v>29.10748291015625</v>
      </c>
      <c r="H233" s="14" t="s">
        <v>511</v>
      </c>
    </row>
    <row r="234" spans="1:8" x14ac:dyDescent="0.2">
      <c r="A234" t="s">
        <v>247</v>
      </c>
      <c r="B234" s="14" t="s">
        <v>512</v>
      </c>
      <c r="C234" t="s">
        <v>547</v>
      </c>
      <c r="D234" s="1">
        <v>28.38047981262207</v>
      </c>
      <c r="H234" s="14" t="s">
        <v>512</v>
      </c>
    </row>
    <row r="235" spans="1:8" x14ac:dyDescent="0.2">
      <c r="A235" t="s">
        <v>248</v>
      </c>
      <c r="B235" s="14" t="s">
        <v>513</v>
      </c>
      <c r="C235" t="s">
        <v>547</v>
      </c>
      <c r="D235" s="1">
        <v>28.195829391479492</v>
      </c>
      <c r="H235" s="14" t="s">
        <v>513</v>
      </c>
    </row>
    <row r="236" spans="1:8" x14ac:dyDescent="0.2">
      <c r="A236" t="s">
        <v>249</v>
      </c>
      <c r="B236" s="14" t="s">
        <v>514</v>
      </c>
      <c r="C236" t="s">
        <v>547</v>
      </c>
      <c r="D236" s="1">
        <v>28.084270477294922</v>
      </c>
      <c r="H236" s="14" t="s">
        <v>514</v>
      </c>
    </row>
    <row r="237" spans="1:8" x14ac:dyDescent="0.2">
      <c r="A237" t="s">
        <v>250</v>
      </c>
      <c r="B237" s="14" t="s">
        <v>515</v>
      </c>
      <c r="C237" t="s">
        <v>547</v>
      </c>
      <c r="D237" s="1">
        <v>27.137165069580078</v>
      </c>
      <c r="H237" s="14" t="s">
        <v>515</v>
      </c>
    </row>
    <row r="238" spans="1:8" x14ac:dyDescent="0.2">
      <c r="A238" t="s">
        <v>251</v>
      </c>
      <c r="B238" s="14" t="s">
        <v>516</v>
      </c>
      <c r="C238" t="s">
        <v>547</v>
      </c>
      <c r="D238" s="1">
        <v>27.137006759643555</v>
      </c>
      <c r="H238" s="14" t="s">
        <v>516</v>
      </c>
    </row>
    <row r="239" spans="1:8" x14ac:dyDescent="0.2">
      <c r="A239" t="s">
        <v>252</v>
      </c>
      <c r="B239" s="14" t="s">
        <v>517</v>
      </c>
      <c r="C239" t="s">
        <v>547</v>
      </c>
      <c r="D239" s="1">
        <v>27.18571662902832</v>
      </c>
      <c r="H239" s="14" t="s">
        <v>517</v>
      </c>
    </row>
    <row r="240" spans="1:8" x14ac:dyDescent="0.2">
      <c r="A240" t="s">
        <v>253</v>
      </c>
      <c r="B240" s="14" t="s">
        <v>518</v>
      </c>
      <c r="C240" t="s">
        <v>547</v>
      </c>
      <c r="D240" t="s">
        <v>55</v>
      </c>
      <c r="H240" s="14" t="s">
        <v>518</v>
      </c>
    </row>
    <row r="241" spans="1:8" x14ac:dyDescent="0.2">
      <c r="A241" t="s">
        <v>254</v>
      </c>
      <c r="B241" s="14" t="s">
        <v>519</v>
      </c>
      <c r="C241" t="s">
        <v>547</v>
      </c>
      <c r="D241" t="s">
        <v>55</v>
      </c>
      <c r="H241" s="14" t="s">
        <v>519</v>
      </c>
    </row>
    <row r="242" spans="1:8" x14ac:dyDescent="0.2">
      <c r="A242" t="s">
        <v>255</v>
      </c>
      <c r="B242" s="14" t="s">
        <v>520</v>
      </c>
      <c r="C242" t="s">
        <v>547</v>
      </c>
      <c r="D242" s="1">
        <v>37.804283142089844</v>
      </c>
      <c r="H242" s="14" t="s">
        <v>520</v>
      </c>
    </row>
    <row r="243" spans="1:8" x14ac:dyDescent="0.2">
      <c r="A243" t="s">
        <v>256</v>
      </c>
      <c r="B243" s="14" t="s">
        <v>521</v>
      </c>
      <c r="C243" t="s">
        <v>547</v>
      </c>
      <c r="D243" s="1">
        <v>28.364259719848633</v>
      </c>
      <c r="H243" s="14" t="s">
        <v>521</v>
      </c>
    </row>
    <row r="244" spans="1:8" x14ac:dyDescent="0.2">
      <c r="A244" t="s">
        <v>257</v>
      </c>
      <c r="B244" s="14" t="s">
        <v>522</v>
      </c>
      <c r="C244" t="s">
        <v>547</v>
      </c>
      <c r="D244" s="1">
        <v>28.148435592651367</v>
      </c>
      <c r="H244" s="14" t="s">
        <v>522</v>
      </c>
    </row>
    <row r="245" spans="1:8" x14ac:dyDescent="0.2">
      <c r="A245" t="s">
        <v>258</v>
      </c>
      <c r="B245" s="14" t="s">
        <v>523</v>
      </c>
      <c r="C245" t="s">
        <v>547</v>
      </c>
      <c r="D245" s="1">
        <v>27.978084564208984</v>
      </c>
      <c r="H245" s="14" t="s">
        <v>523</v>
      </c>
    </row>
    <row r="246" spans="1:8" x14ac:dyDescent="0.2">
      <c r="A246" t="s">
        <v>259</v>
      </c>
      <c r="B246" s="14" t="s">
        <v>524</v>
      </c>
      <c r="C246" t="s">
        <v>547</v>
      </c>
      <c r="D246" s="1">
        <v>33.629238128662109</v>
      </c>
      <c r="H246" s="14" t="s">
        <v>524</v>
      </c>
    </row>
    <row r="247" spans="1:8" x14ac:dyDescent="0.2">
      <c r="A247" t="s">
        <v>260</v>
      </c>
      <c r="B247" s="14" t="s">
        <v>525</v>
      </c>
      <c r="C247" t="s">
        <v>547</v>
      </c>
      <c r="D247" s="1">
        <v>33.397670745849609</v>
      </c>
      <c r="H247" s="14" t="s">
        <v>525</v>
      </c>
    </row>
    <row r="248" spans="1:8" x14ac:dyDescent="0.2">
      <c r="A248" t="s">
        <v>261</v>
      </c>
      <c r="B248" s="14" t="s">
        <v>526</v>
      </c>
      <c r="C248" t="s">
        <v>547</v>
      </c>
      <c r="D248" s="1">
        <v>33.500087738037109</v>
      </c>
      <c r="H248" s="14" t="s">
        <v>526</v>
      </c>
    </row>
    <row r="249" spans="1:8" x14ac:dyDescent="0.2">
      <c r="A249" t="s">
        <v>262</v>
      </c>
      <c r="B249" s="14" t="s">
        <v>527</v>
      </c>
      <c r="C249" t="s">
        <v>547</v>
      </c>
      <c r="D249" s="1">
        <v>28.157051086425781</v>
      </c>
      <c r="H249" s="14" t="s">
        <v>527</v>
      </c>
    </row>
    <row r="250" spans="1:8" x14ac:dyDescent="0.2">
      <c r="A250" t="s">
        <v>263</v>
      </c>
      <c r="B250" s="14" t="s">
        <v>528</v>
      </c>
      <c r="C250" t="s">
        <v>547</v>
      </c>
      <c r="D250" s="1">
        <v>28.081676483154297</v>
      </c>
      <c r="H250" s="14" t="s">
        <v>528</v>
      </c>
    </row>
    <row r="251" spans="1:8" x14ac:dyDescent="0.2">
      <c r="A251" t="s">
        <v>264</v>
      </c>
      <c r="B251" s="14" t="s">
        <v>529</v>
      </c>
      <c r="C251" t="s">
        <v>547</v>
      </c>
      <c r="D251" s="1">
        <v>27.985073089599609</v>
      </c>
      <c r="H251" s="14" t="s">
        <v>529</v>
      </c>
    </row>
    <row r="252" spans="1:8" x14ac:dyDescent="0.2">
      <c r="A252" t="s">
        <v>265</v>
      </c>
      <c r="B252" s="14" t="s">
        <v>530</v>
      </c>
      <c r="C252" t="s">
        <v>547</v>
      </c>
      <c r="D252" s="1">
        <v>28.161872863769531</v>
      </c>
      <c r="H252" s="14" t="s">
        <v>530</v>
      </c>
    </row>
    <row r="253" spans="1:8" x14ac:dyDescent="0.2">
      <c r="A253" t="s">
        <v>266</v>
      </c>
      <c r="B253" s="14" t="s">
        <v>531</v>
      </c>
      <c r="C253" t="s">
        <v>547</v>
      </c>
      <c r="D253" s="1">
        <v>27.91340446472168</v>
      </c>
      <c r="H253" s="14" t="s">
        <v>531</v>
      </c>
    </row>
    <row r="254" spans="1:8" x14ac:dyDescent="0.2">
      <c r="A254" t="s">
        <v>267</v>
      </c>
      <c r="B254" s="14" t="s">
        <v>532</v>
      </c>
      <c r="C254" t="s">
        <v>547</v>
      </c>
      <c r="D254" s="1">
        <v>27.912397384643555</v>
      </c>
      <c r="H254" s="14" t="s">
        <v>532</v>
      </c>
    </row>
    <row r="255" spans="1:8" x14ac:dyDescent="0.2">
      <c r="A255" t="s">
        <v>268</v>
      </c>
      <c r="B255" s="14" t="s">
        <v>533</v>
      </c>
      <c r="C255" t="s">
        <v>547</v>
      </c>
      <c r="D255" s="1">
        <v>28.217327117919922</v>
      </c>
      <c r="H255" s="14" t="s">
        <v>533</v>
      </c>
    </row>
    <row r="256" spans="1:8" x14ac:dyDescent="0.2">
      <c r="A256" t="s">
        <v>269</v>
      </c>
      <c r="B256" s="14" t="s">
        <v>534</v>
      </c>
      <c r="C256" t="s">
        <v>547</v>
      </c>
      <c r="D256" s="1">
        <v>27.959083557128906</v>
      </c>
      <c r="H256" s="14" t="s">
        <v>534</v>
      </c>
    </row>
    <row r="257" spans="1:8" x14ac:dyDescent="0.2">
      <c r="A257" t="s">
        <v>270</v>
      </c>
      <c r="B257" s="14" t="s">
        <v>535</v>
      </c>
      <c r="C257" t="s">
        <v>547</v>
      </c>
      <c r="D257" s="1">
        <v>27.899942398071289</v>
      </c>
      <c r="H257" s="14" t="s">
        <v>535</v>
      </c>
    </row>
    <row r="258" spans="1:8" x14ac:dyDescent="0.2">
      <c r="A258" t="s">
        <v>271</v>
      </c>
      <c r="B258" s="14" t="s">
        <v>536</v>
      </c>
      <c r="C258" t="s">
        <v>547</v>
      </c>
      <c r="D258" s="1">
        <v>27.877939224243164</v>
      </c>
      <c r="H258" s="14" t="s">
        <v>536</v>
      </c>
    </row>
    <row r="259" spans="1:8" x14ac:dyDescent="0.2">
      <c r="A259" t="s">
        <v>272</v>
      </c>
      <c r="B259" s="14" t="s">
        <v>537</v>
      </c>
      <c r="C259" t="s">
        <v>547</v>
      </c>
      <c r="D259" s="1">
        <v>27.581525802612305</v>
      </c>
      <c r="H259" s="14" t="s">
        <v>537</v>
      </c>
    </row>
    <row r="260" spans="1:8" x14ac:dyDescent="0.2">
      <c r="A260" t="s">
        <v>273</v>
      </c>
      <c r="B260" s="14" t="s">
        <v>538</v>
      </c>
      <c r="C260" t="s">
        <v>547</v>
      </c>
      <c r="D260" s="1">
        <v>27.66131591796875</v>
      </c>
      <c r="H260" s="14" t="s">
        <v>538</v>
      </c>
    </row>
    <row r="261" spans="1:8" x14ac:dyDescent="0.2">
      <c r="A261" t="s">
        <v>274</v>
      </c>
      <c r="B261" s="14" t="s">
        <v>539</v>
      </c>
      <c r="C261" t="s">
        <v>547</v>
      </c>
      <c r="D261" s="1">
        <v>28.24980354309082</v>
      </c>
      <c r="H261" s="14" t="s">
        <v>539</v>
      </c>
    </row>
    <row r="262" spans="1:8" x14ac:dyDescent="0.2">
      <c r="A262" t="s">
        <v>275</v>
      </c>
      <c r="B262" s="14" t="s">
        <v>540</v>
      </c>
      <c r="C262" t="s">
        <v>547</v>
      </c>
      <c r="D262" s="1">
        <v>27.983617782592773</v>
      </c>
      <c r="H262" s="14" t="s">
        <v>540</v>
      </c>
    </row>
    <row r="263" spans="1:8" x14ac:dyDescent="0.2">
      <c r="A263" t="s">
        <v>276</v>
      </c>
      <c r="B263" s="14" t="s">
        <v>541</v>
      </c>
      <c r="C263" t="s">
        <v>547</v>
      </c>
      <c r="D263" s="1">
        <v>28.13929557800293</v>
      </c>
      <c r="H263" s="14" t="s">
        <v>541</v>
      </c>
    </row>
    <row r="264" spans="1:8" x14ac:dyDescent="0.2">
      <c r="A264" t="s">
        <v>277</v>
      </c>
      <c r="B264" s="3" t="s">
        <v>457</v>
      </c>
      <c r="C264" t="s">
        <v>547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547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547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547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547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547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547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547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547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547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547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547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547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547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547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547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547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547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548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548</v>
      </c>
      <c r="D283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548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548</v>
      </c>
      <c r="D285" s="1">
        <v>28.426450729370117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548</v>
      </c>
      <c r="D286" s="1">
        <v>28.406116485595703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548</v>
      </c>
      <c r="D287" s="1">
        <v>28.252197265625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548</v>
      </c>
      <c r="D288" s="1">
        <v>28.891843795776367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548</v>
      </c>
      <c r="D289" s="1">
        <v>29.133274078369141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548</v>
      </c>
      <c r="D290" s="1">
        <v>29.163036346435547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548</v>
      </c>
      <c r="D291" s="1">
        <v>30.070241928100586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548</v>
      </c>
      <c r="D292" s="1">
        <v>30.01336669921875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548</v>
      </c>
      <c r="D293" s="1">
        <v>30.287693023681641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548</v>
      </c>
      <c r="D294" s="1">
        <v>31.537111282348633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548</v>
      </c>
      <c r="D295" s="1">
        <v>31.731874465942383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548</v>
      </c>
      <c r="D296" s="1">
        <v>30.533525466918945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548</v>
      </c>
      <c r="D297" s="1">
        <v>32.538768768310547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548</v>
      </c>
      <c r="D298" s="1">
        <v>32.623332977294922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548</v>
      </c>
      <c r="D299" s="1">
        <v>32.537357330322266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548</v>
      </c>
      <c r="D300" s="1">
        <v>33.461067199707031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548</v>
      </c>
      <c r="D301" s="1">
        <v>33.781532287597656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548</v>
      </c>
      <c r="D302" s="1">
        <v>33.591789245605469</v>
      </c>
      <c r="H302" s="3" t="s">
        <v>435</v>
      </c>
    </row>
    <row r="303" spans="1:8" x14ac:dyDescent="0.2">
      <c r="A303" t="s">
        <v>316</v>
      </c>
      <c r="B303" s="14" t="s">
        <v>461</v>
      </c>
      <c r="C303" t="s">
        <v>548</v>
      </c>
      <c r="D303" s="1">
        <v>30.185663223266602</v>
      </c>
      <c r="H303" s="14" t="s">
        <v>461</v>
      </c>
    </row>
    <row r="304" spans="1:8" x14ac:dyDescent="0.2">
      <c r="A304" t="s">
        <v>317</v>
      </c>
      <c r="B304" s="14" t="s">
        <v>462</v>
      </c>
      <c r="C304" t="s">
        <v>548</v>
      </c>
      <c r="D304" s="1">
        <v>30.226467132568359</v>
      </c>
      <c r="H304" s="14" t="s">
        <v>462</v>
      </c>
    </row>
    <row r="305" spans="1:8" x14ac:dyDescent="0.2">
      <c r="A305" t="s">
        <v>318</v>
      </c>
      <c r="B305" s="14" t="s">
        <v>463</v>
      </c>
      <c r="C305" t="s">
        <v>548</v>
      </c>
      <c r="D305" s="1">
        <v>30.155252456665039</v>
      </c>
      <c r="H305" s="14" t="s">
        <v>463</v>
      </c>
    </row>
    <row r="306" spans="1:8" x14ac:dyDescent="0.2">
      <c r="A306" t="s">
        <v>319</v>
      </c>
      <c r="B306" s="14" t="s">
        <v>464</v>
      </c>
      <c r="C306" t="s">
        <v>548</v>
      </c>
      <c r="D306" s="1">
        <v>30.808931350708008</v>
      </c>
      <c r="H306" s="14" t="s">
        <v>464</v>
      </c>
    </row>
    <row r="307" spans="1:8" x14ac:dyDescent="0.2">
      <c r="A307" t="s">
        <v>320</v>
      </c>
      <c r="B307" s="14" t="s">
        <v>465</v>
      </c>
      <c r="C307" t="s">
        <v>548</v>
      </c>
      <c r="D307" s="1">
        <v>30.776155471801758</v>
      </c>
      <c r="H307" s="14" t="s">
        <v>465</v>
      </c>
    </row>
    <row r="308" spans="1:8" x14ac:dyDescent="0.2">
      <c r="A308" t="s">
        <v>321</v>
      </c>
      <c r="B308" s="14" t="s">
        <v>466</v>
      </c>
      <c r="C308" t="s">
        <v>548</v>
      </c>
      <c r="D308" s="1">
        <v>30.566778182983398</v>
      </c>
      <c r="H308" s="14" t="s">
        <v>466</v>
      </c>
    </row>
    <row r="309" spans="1:8" x14ac:dyDescent="0.2">
      <c r="A309" t="s">
        <v>322</v>
      </c>
      <c r="B309" s="14" t="s">
        <v>467</v>
      </c>
      <c r="C309" t="s">
        <v>548</v>
      </c>
      <c r="D309" s="1">
        <v>30.423557281494141</v>
      </c>
      <c r="H309" s="14" t="s">
        <v>467</v>
      </c>
    </row>
    <row r="310" spans="1:8" x14ac:dyDescent="0.2">
      <c r="A310" t="s">
        <v>323</v>
      </c>
      <c r="B310" s="14" t="s">
        <v>468</v>
      </c>
      <c r="C310" t="s">
        <v>548</v>
      </c>
      <c r="D310" s="1">
        <v>30.648324966430664</v>
      </c>
      <c r="H310" s="14" t="s">
        <v>468</v>
      </c>
    </row>
    <row r="311" spans="1:8" x14ac:dyDescent="0.2">
      <c r="A311" t="s">
        <v>324</v>
      </c>
      <c r="B311" s="14" t="s">
        <v>469</v>
      </c>
      <c r="C311" t="s">
        <v>548</v>
      </c>
      <c r="D311" s="1">
        <v>30.275417327880859</v>
      </c>
      <c r="H311" s="14" t="s">
        <v>469</v>
      </c>
    </row>
    <row r="312" spans="1:8" x14ac:dyDescent="0.2">
      <c r="A312" t="s">
        <v>325</v>
      </c>
      <c r="B312" s="14" t="s">
        <v>470</v>
      </c>
      <c r="C312" t="s">
        <v>548</v>
      </c>
      <c r="D312" s="1">
        <v>30.706171035766602</v>
      </c>
      <c r="H312" s="14" t="s">
        <v>470</v>
      </c>
    </row>
    <row r="313" spans="1:8" x14ac:dyDescent="0.2">
      <c r="A313" t="s">
        <v>326</v>
      </c>
      <c r="B313" s="14" t="s">
        <v>471</v>
      </c>
      <c r="C313" t="s">
        <v>548</v>
      </c>
      <c r="D313" s="1">
        <v>30.592365264892578</v>
      </c>
      <c r="H313" s="14" t="s">
        <v>471</v>
      </c>
    </row>
    <row r="314" spans="1:8" x14ac:dyDescent="0.2">
      <c r="A314" t="s">
        <v>327</v>
      </c>
      <c r="B314" s="14" t="s">
        <v>472</v>
      </c>
      <c r="C314" t="s">
        <v>548</v>
      </c>
      <c r="D314" s="1">
        <v>30.268880844116211</v>
      </c>
      <c r="H314" s="14" t="s">
        <v>472</v>
      </c>
    </row>
    <row r="315" spans="1:8" x14ac:dyDescent="0.2">
      <c r="A315" t="s">
        <v>328</v>
      </c>
      <c r="B315" s="14" t="s">
        <v>473</v>
      </c>
      <c r="C315" t="s">
        <v>548</v>
      </c>
      <c r="D315" s="1">
        <v>30.4033203125</v>
      </c>
      <c r="H315" s="14" t="s">
        <v>473</v>
      </c>
    </row>
    <row r="316" spans="1:8" x14ac:dyDescent="0.2">
      <c r="A316" t="s">
        <v>329</v>
      </c>
      <c r="B316" s="14" t="s">
        <v>474</v>
      </c>
      <c r="C316" t="s">
        <v>548</v>
      </c>
      <c r="D316" s="1">
        <v>30.10728645324707</v>
      </c>
      <c r="H316" s="14" t="s">
        <v>474</v>
      </c>
    </row>
    <row r="317" spans="1:8" x14ac:dyDescent="0.2">
      <c r="A317" t="s">
        <v>330</v>
      </c>
      <c r="B317" s="14" t="s">
        <v>475</v>
      </c>
      <c r="C317" t="s">
        <v>548</v>
      </c>
      <c r="D317" s="1">
        <v>30.495790481567383</v>
      </c>
      <c r="H317" s="14" t="s">
        <v>475</v>
      </c>
    </row>
    <row r="318" spans="1:8" x14ac:dyDescent="0.2">
      <c r="A318" t="s">
        <v>331</v>
      </c>
      <c r="B318" s="14" t="s">
        <v>476</v>
      </c>
      <c r="C318" t="s">
        <v>548</v>
      </c>
      <c r="D318" s="1">
        <v>29.979360580444336</v>
      </c>
      <c r="H318" s="14" t="s">
        <v>476</v>
      </c>
    </row>
    <row r="319" spans="1:8" x14ac:dyDescent="0.2">
      <c r="A319" t="s">
        <v>332</v>
      </c>
      <c r="B319" s="14" t="s">
        <v>477</v>
      </c>
      <c r="C319" t="s">
        <v>548</v>
      </c>
      <c r="D319" s="1">
        <v>30.06898307800293</v>
      </c>
      <c r="H319" s="14" t="s">
        <v>477</v>
      </c>
    </row>
    <row r="320" spans="1:8" x14ac:dyDescent="0.2">
      <c r="A320" t="s">
        <v>333</v>
      </c>
      <c r="B320" s="14" t="s">
        <v>478</v>
      </c>
      <c r="C320" t="s">
        <v>548</v>
      </c>
      <c r="D320" s="1">
        <v>30.20964241027832</v>
      </c>
      <c r="H320" s="14" t="s">
        <v>478</v>
      </c>
    </row>
    <row r="321" spans="1:8" x14ac:dyDescent="0.2">
      <c r="A321" t="s">
        <v>334</v>
      </c>
      <c r="B321" s="14" t="s">
        <v>479</v>
      </c>
      <c r="C321" t="s">
        <v>548</v>
      </c>
      <c r="D321" s="1">
        <v>30.481704711914063</v>
      </c>
      <c r="H321" s="14" t="s">
        <v>479</v>
      </c>
    </row>
    <row r="322" spans="1:8" x14ac:dyDescent="0.2">
      <c r="A322" t="s">
        <v>335</v>
      </c>
      <c r="B322" s="14" t="s">
        <v>480</v>
      </c>
      <c r="C322" t="s">
        <v>548</v>
      </c>
      <c r="D322" s="1">
        <v>30.294532775878906</v>
      </c>
      <c r="H322" s="14" t="s">
        <v>480</v>
      </c>
    </row>
    <row r="323" spans="1:8" x14ac:dyDescent="0.2">
      <c r="A323" t="s">
        <v>336</v>
      </c>
      <c r="B323" s="14" t="s">
        <v>481</v>
      </c>
      <c r="C323" t="s">
        <v>548</v>
      </c>
      <c r="D323" s="1">
        <v>30.753957748413086</v>
      </c>
      <c r="H323" s="14" t="s">
        <v>481</v>
      </c>
    </row>
    <row r="324" spans="1:8" x14ac:dyDescent="0.2">
      <c r="A324" t="s">
        <v>337</v>
      </c>
      <c r="B324" s="14" t="s">
        <v>482</v>
      </c>
      <c r="C324" t="s">
        <v>548</v>
      </c>
      <c r="D324" s="1">
        <v>30.620611190795898</v>
      </c>
      <c r="H324" s="14" t="s">
        <v>482</v>
      </c>
    </row>
    <row r="325" spans="1:8" x14ac:dyDescent="0.2">
      <c r="A325" t="s">
        <v>338</v>
      </c>
      <c r="B325" s="14" t="s">
        <v>483</v>
      </c>
      <c r="C325" t="s">
        <v>548</v>
      </c>
      <c r="D325" s="1">
        <v>30.630270004272461</v>
      </c>
      <c r="H325" s="14" t="s">
        <v>483</v>
      </c>
    </row>
    <row r="326" spans="1:8" x14ac:dyDescent="0.2">
      <c r="A326" t="s">
        <v>339</v>
      </c>
      <c r="B326" s="14" t="s">
        <v>484</v>
      </c>
      <c r="C326" t="s">
        <v>548</v>
      </c>
      <c r="D326" s="1">
        <v>30.90167236328125</v>
      </c>
      <c r="H326" s="14" t="s">
        <v>484</v>
      </c>
    </row>
    <row r="327" spans="1:8" x14ac:dyDescent="0.2">
      <c r="A327" t="s">
        <v>340</v>
      </c>
      <c r="B327" s="14" t="s">
        <v>485</v>
      </c>
      <c r="C327" t="s">
        <v>548</v>
      </c>
      <c r="D327" s="1">
        <v>30.617258071899414</v>
      </c>
      <c r="H327" s="14" t="s">
        <v>485</v>
      </c>
    </row>
    <row r="328" spans="1:8" x14ac:dyDescent="0.2">
      <c r="A328" t="s">
        <v>341</v>
      </c>
      <c r="B328" s="14" t="s">
        <v>486</v>
      </c>
      <c r="C328" t="s">
        <v>548</v>
      </c>
      <c r="D328" s="1">
        <v>30.535539627075195</v>
      </c>
      <c r="H328" s="14" t="s">
        <v>486</v>
      </c>
    </row>
    <row r="329" spans="1:8" x14ac:dyDescent="0.2">
      <c r="A329" t="s">
        <v>342</v>
      </c>
      <c r="B329" s="14" t="s">
        <v>487</v>
      </c>
      <c r="C329" t="s">
        <v>548</v>
      </c>
      <c r="D329" s="1">
        <v>30.652750015258789</v>
      </c>
      <c r="H329" s="14" t="s">
        <v>487</v>
      </c>
    </row>
    <row r="330" spans="1:8" x14ac:dyDescent="0.2">
      <c r="A330" t="s">
        <v>343</v>
      </c>
      <c r="B330" s="14" t="s">
        <v>488</v>
      </c>
      <c r="C330" t="s">
        <v>548</v>
      </c>
      <c r="D330" s="1">
        <v>29.55809211730957</v>
      </c>
      <c r="H330" s="14" t="s">
        <v>488</v>
      </c>
    </row>
    <row r="331" spans="1:8" x14ac:dyDescent="0.2">
      <c r="A331" t="s">
        <v>344</v>
      </c>
      <c r="B331" s="14" t="s">
        <v>489</v>
      </c>
      <c r="C331" t="s">
        <v>548</v>
      </c>
      <c r="D331" s="1">
        <v>29.45793342590332</v>
      </c>
      <c r="H331" s="14" t="s">
        <v>489</v>
      </c>
    </row>
    <row r="332" spans="1:8" x14ac:dyDescent="0.2">
      <c r="A332" t="s">
        <v>345</v>
      </c>
      <c r="B332" s="14" t="s">
        <v>490</v>
      </c>
      <c r="C332" t="s">
        <v>548</v>
      </c>
      <c r="D332" s="1">
        <v>29.303781509399414</v>
      </c>
      <c r="H332" s="14" t="s">
        <v>490</v>
      </c>
    </row>
    <row r="333" spans="1:8" x14ac:dyDescent="0.2">
      <c r="A333" t="s">
        <v>346</v>
      </c>
      <c r="B333" s="14" t="s">
        <v>491</v>
      </c>
      <c r="C333" t="s">
        <v>548</v>
      </c>
      <c r="D333" s="1">
        <v>29.963361740112305</v>
      </c>
      <c r="H333" s="14" t="s">
        <v>491</v>
      </c>
    </row>
    <row r="334" spans="1:8" x14ac:dyDescent="0.2">
      <c r="A334" t="s">
        <v>347</v>
      </c>
      <c r="B334" s="14" t="s">
        <v>492</v>
      </c>
      <c r="C334" t="s">
        <v>548</v>
      </c>
      <c r="D334" s="1">
        <v>29.187885284423828</v>
      </c>
      <c r="H334" s="14" t="s">
        <v>492</v>
      </c>
    </row>
    <row r="335" spans="1:8" x14ac:dyDescent="0.2">
      <c r="A335" t="s">
        <v>348</v>
      </c>
      <c r="B335" s="14" t="s">
        <v>493</v>
      </c>
      <c r="C335" t="s">
        <v>548</v>
      </c>
      <c r="D335" s="1">
        <v>29.7142333984375</v>
      </c>
      <c r="H335" s="14" t="s">
        <v>493</v>
      </c>
    </row>
    <row r="336" spans="1:8" x14ac:dyDescent="0.2">
      <c r="A336" t="s">
        <v>349</v>
      </c>
      <c r="B336" s="14" t="s">
        <v>494</v>
      </c>
      <c r="C336" t="s">
        <v>548</v>
      </c>
      <c r="D336" s="1">
        <v>29.820329666137695</v>
      </c>
      <c r="H336" s="14" t="s">
        <v>494</v>
      </c>
    </row>
    <row r="337" spans="1:8" x14ac:dyDescent="0.2">
      <c r="A337" t="s">
        <v>350</v>
      </c>
      <c r="B337" s="14" t="s">
        <v>495</v>
      </c>
      <c r="C337" t="s">
        <v>548</v>
      </c>
      <c r="D337" s="1">
        <v>29.646718978881836</v>
      </c>
      <c r="H337" s="14" t="s">
        <v>495</v>
      </c>
    </row>
    <row r="338" spans="1:8" x14ac:dyDescent="0.2">
      <c r="A338" t="s">
        <v>351</v>
      </c>
      <c r="B338" s="14" t="s">
        <v>496</v>
      </c>
      <c r="C338" t="s">
        <v>548</v>
      </c>
      <c r="D338" s="1">
        <v>29.921545028686523</v>
      </c>
      <c r="H338" s="14" t="s">
        <v>496</v>
      </c>
    </row>
    <row r="339" spans="1:8" x14ac:dyDescent="0.2">
      <c r="A339" t="s">
        <v>352</v>
      </c>
      <c r="B339" s="14" t="s">
        <v>497</v>
      </c>
      <c r="C339" t="s">
        <v>548</v>
      </c>
      <c r="D339" s="1">
        <v>31.928451538085938</v>
      </c>
      <c r="H339" s="14" t="s">
        <v>497</v>
      </c>
    </row>
    <row r="340" spans="1:8" x14ac:dyDescent="0.2">
      <c r="A340" t="s">
        <v>353</v>
      </c>
      <c r="B340" s="14" t="s">
        <v>498</v>
      </c>
      <c r="C340" t="s">
        <v>548</v>
      </c>
      <c r="D340" s="1">
        <v>31.848201751708984</v>
      </c>
      <c r="H340" s="14" t="s">
        <v>498</v>
      </c>
    </row>
    <row r="341" spans="1:8" x14ac:dyDescent="0.2">
      <c r="A341" t="s">
        <v>354</v>
      </c>
      <c r="B341" s="14" t="s">
        <v>499</v>
      </c>
      <c r="C341" t="s">
        <v>548</v>
      </c>
      <c r="D341" s="1">
        <v>31.879470825195313</v>
      </c>
      <c r="H341" s="14" t="s">
        <v>499</v>
      </c>
    </row>
    <row r="342" spans="1:8" x14ac:dyDescent="0.2">
      <c r="A342" t="s">
        <v>355</v>
      </c>
      <c r="B342" s="14" t="s">
        <v>500</v>
      </c>
      <c r="C342" t="s">
        <v>548</v>
      </c>
      <c r="D342" s="1">
        <v>29.57624626159668</v>
      </c>
      <c r="H342" s="14" t="s">
        <v>500</v>
      </c>
    </row>
    <row r="343" spans="1:8" x14ac:dyDescent="0.2">
      <c r="A343" t="s">
        <v>356</v>
      </c>
      <c r="B343" s="14" t="s">
        <v>501</v>
      </c>
      <c r="C343" t="s">
        <v>548</v>
      </c>
      <c r="D343" s="1">
        <v>29.217216491699219</v>
      </c>
      <c r="H343" s="14" t="s">
        <v>501</v>
      </c>
    </row>
    <row r="344" spans="1:8" x14ac:dyDescent="0.2">
      <c r="A344" t="s">
        <v>357</v>
      </c>
      <c r="B344" s="14" t="s">
        <v>502</v>
      </c>
      <c r="C344" t="s">
        <v>548</v>
      </c>
      <c r="D344" s="1">
        <v>29.550437927246094</v>
      </c>
      <c r="H344" s="14" t="s">
        <v>502</v>
      </c>
    </row>
    <row r="345" spans="1:8" x14ac:dyDescent="0.2">
      <c r="A345" t="s">
        <v>358</v>
      </c>
      <c r="B345" s="14" t="s">
        <v>503</v>
      </c>
      <c r="C345" t="s">
        <v>548</v>
      </c>
      <c r="D345" s="1">
        <v>29.774574279785156</v>
      </c>
      <c r="H345" s="14" t="s">
        <v>503</v>
      </c>
    </row>
    <row r="346" spans="1:8" x14ac:dyDescent="0.2">
      <c r="A346" t="s">
        <v>359</v>
      </c>
      <c r="B346" s="14" t="s">
        <v>504</v>
      </c>
      <c r="C346" t="s">
        <v>548</v>
      </c>
      <c r="D346" s="1">
        <v>29.415422439575195</v>
      </c>
      <c r="H346" s="14" t="s">
        <v>504</v>
      </c>
    </row>
    <row r="347" spans="1:8" x14ac:dyDescent="0.2">
      <c r="A347" t="s">
        <v>360</v>
      </c>
      <c r="B347" s="14" t="s">
        <v>505</v>
      </c>
      <c r="C347" t="s">
        <v>548</v>
      </c>
      <c r="D347" s="1">
        <v>29.37999153137207</v>
      </c>
      <c r="H347" s="14" t="s">
        <v>505</v>
      </c>
    </row>
    <row r="348" spans="1:8" x14ac:dyDescent="0.2">
      <c r="A348" t="s">
        <v>361</v>
      </c>
      <c r="B348" s="14" t="s">
        <v>506</v>
      </c>
      <c r="C348" t="s">
        <v>548</v>
      </c>
      <c r="D348" s="1">
        <v>30.140737533569336</v>
      </c>
      <c r="H348" s="14" t="s">
        <v>506</v>
      </c>
    </row>
    <row r="349" spans="1:8" x14ac:dyDescent="0.2">
      <c r="A349" t="s">
        <v>362</v>
      </c>
      <c r="B349" s="14" t="s">
        <v>507</v>
      </c>
      <c r="C349" t="s">
        <v>548</v>
      </c>
      <c r="D349" s="1">
        <v>30.023073196411133</v>
      </c>
      <c r="H349" s="14" t="s">
        <v>507</v>
      </c>
    </row>
    <row r="350" spans="1:8" x14ac:dyDescent="0.2">
      <c r="A350" t="s">
        <v>363</v>
      </c>
      <c r="B350" s="14" t="s">
        <v>508</v>
      </c>
      <c r="C350" t="s">
        <v>548</v>
      </c>
      <c r="D350" s="1">
        <v>30.092857360839844</v>
      </c>
      <c r="H350" s="14" t="s">
        <v>508</v>
      </c>
    </row>
    <row r="351" spans="1:8" x14ac:dyDescent="0.2">
      <c r="A351" t="s">
        <v>364</v>
      </c>
      <c r="B351" s="14" t="s">
        <v>509</v>
      </c>
      <c r="C351" t="s">
        <v>548</v>
      </c>
      <c r="D351" s="1">
        <v>31.117273330688477</v>
      </c>
      <c r="H351" s="14" t="s">
        <v>509</v>
      </c>
    </row>
    <row r="352" spans="1:8" x14ac:dyDescent="0.2">
      <c r="A352" t="s">
        <v>365</v>
      </c>
      <c r="B352" s="14" t="s">
        <v>510</v>
      </c>
      <c r="C352" t="s">
        <v>548</v>
      </c>
      <c r="D352" s="1">
        <v>30.463247299194336</v>
      </c>
      <c r="H352" s="14" t="s">
        <v>510</v>
      </c>
    </row>
    <row r="353" spans="1:8" x14ac:dyDescent="0.2">
      <c r="A353" t="s">
        <v>366</v>
      </c>
      <c r="B353" s="14" t="s">
        <v>511</v>
      </c>
      <c r="C353" t="s">
        <v>548</v>
      </c>
      <c r="D353" s="1">
        <v>30.688144683837891</v>
      </c>
      <c r="H353" s="14" t="s">
        <v>511</v>
      </c>
    </row>
    <row r="354" spans="1:8" x14ac:dyDescent="0.2">
      <c r="A354" t="s">
        <v>367</v>
      </c>
      <c r="B354" s="14" t="s">
        <v>512</v>
      </c>
      <c r="C354" t="s">
        <v>548</v>
      </c>
      <c r="D354" s="1">
        <v>29.951335906982422</v>
      </c>
      <c r="H354" s="14" t="s">
        <v>512</v>
      </c>
    </row>
    <row r="355" spans="1:8" x14ac:dyDescent="0.2">
      <c r="A355" t="s">
        <v>368</v>
      </c>
      <c r="B355" s="14" t="s">
        <v>513</v>
      </c>
      <c r="C355" t="s">
        <v>548</v>
      </c>
      <c r="D355" s="1">
        <v>29.83747673034668</v>
      </c>
      <c r="H355" s="14" t="s">
        <v>513</v>
      </c>
    </row>
    <row r="356" spans="1:8" x14ac:dyDescent="0.2">
      <c r="A356" t="s">
        <v>369</v>
      </c>
      <c r="B356" s="14" t="s">
        <v>514</v>
      </c>
      <c r="C356" t="s">
        <v>548</v>
      </c>
      <c r="D356" s="1">
        <v>29.667747497558594</v>
      </c>
      <c r="H356" s="14" t="s">
        <v>514</v>
      </c>
    </row>
    <row r="357" spans="1:8" x14ac:dyDescent="0.2">
      <c r="A357" t="s">
        <v>370</v>
      </c>
      <c r="B357" s="14" t="s">
        <v>515</v>
      </c>
      <c r="C357" t="s">
        <v>548</v>
      </c>
      <c r="D357" s="1">
        <v>29.506338119506836</v>
      </c>
      <c r="H357" s="14" t="s">
        <v>515</v>
      </c>
    </row>
    <row r="358" spans="1:8" x14ac:dyDescent="0.2">
      <c r="A358" t="s">
        <v>371</v>
      </c>
      <c r="B358" s="14" t="s">
        <v>516</v>
      </c>
      <c r="C358" t="s">
        <v>548</v>
      </c>
      <c r="D358" s="1">
        <v>29.554887771606445</v>
      </c>
      <c r="H358" s="14" t="s">
        <v>516</v>
      </c>
    </row>
    <row r="359" spans="1:8" x14ac:dyDescent="0.2">
      <c r="A359" t="s">
        <v>372</v>
      </c>
      <c r="B359" s="14" t="s">
        <v>517</v>
      </c>
      <c r="C359" t="s">
        <v>548</v>
      </c>
      <c r="D359" s="1">
        <v>29.133419036865234</v>
      </c>
      <c r="H359" s="14" t="s">
        <v>517</v>
      </c>
    </row>
    <row r="360" spans="1:8" x14ac:dyDescent="0.2">
      <c r="A360" t="s">
        <v>373</v>
      </c>
      <c r="B360" s="14" t="s">
        <v>518</v>
      </c>
      <c r="C360" t="s">
        <v>548</v>
      </c>
      <c r="D360" t="s">
        <v>55</v>
      </c>
      <c r="H360" s="14" t="s">
        <v>518</v>
      </c>
    </row>
    <row r="361" spans="1:8" x14ac:dyDescent="0.2">
      <c r="A361" t="s">
        <v>374</v>
      </c>
      <c r="B361" s="14" t="s">
        <v>519</v>
      </c>
      <c r="C361" t="s">
        <v>548</v>
      </c>
      <c r="D361" t="s">
        <v>55</v>
      </c>
      <c r="H361" s="14" t="s">
        <v>519</v>
      </c>
    </row>
    <row r="362" spans="1:8" x14ac:dyDescent="0.2">
      <c r="A362" t="s">
        <v>375</v>
      </c>
      <c r="B362" s="14" t="s">
        <v>520</v>
      </c>
      <c r="C362" t="s">
        <v>548</v>
      </c>
      <c r="D362" t="s">
        <v>55</v>
      </c>
      <c r="H362" s="14" t="s">
        <v>520</v>
      </c>
    </row>
    <row r="363" spans="1:8" x14ac:dyDescent="0.2">
      <c r="A363" t="s">
        <v>376</v>
      </c>
      <c r="B363" s="14" t="s">
        <v>521</v>
      </c>
      <c r="C363" t="s">
        <v>548</v>
      </c>
      <c r="D363" s="1">
        <v>30.495288848876953</v>
      </c>
      <c r="H363" s="14" t="s">
        <v>521</v>
      </c>
    </row>
    <row r="364" spans="1:8" x14ac:dyDescent="0.2">
      <c r="A364" t="s">
        <v>377</v>
      </c>
      <c r="B364" s="14" t="s">
        <v>522</v>
      </c>
      <c r="C364" t="s">
        <v>548</v>
      </c>
      <c r="D364" s="1">
        <v>30.427982330322266</v>
      </c>
      <c r="H364" s="14" t="s">
        <v>522</v>
      </c>
    </row>
    <row r="365" spans="1:8" x14ac:dyDescent="0.2">
      <c r="A365" t="s">
        <v>378</v>
      </c>
      <c r="B365" s="14" t="s">
        <v>523</v>
      </c>
      <c r="C365" t="s">
        <v>548</v>
      </c>
      <c r="D365" s="1">
        <v>30.380434036254883</v>
      </c>
      <c r="H365" s="14" t="s">
        <v>523</v>
      </c>
    </row>
    <row r="366" spans="1:8" x14ac:dyDescent="0.2">
      <c r="A366" t="s">
        <v>379</v>
      </c>
      <c r="B366" s="14" t="s">
        <v>524</v>
      </c>
      <c r="C366" t="s">
        <v>548</v>
      </c>
      <c r="D366" s="1">
        <v>38.746761322021484</v>
      </c>
      <c r="H366" s="14" t="s">
        <v>524</v>
      </c>
    </row>
    <row r="367" spans="1:8" x14ac:dyDescent="0.2">
      <c r="A367" t="s">
        <v>380</v>
      </c>
      <c r="B367" s="14" t="s">
        <v>525</v>
      </c>
      <c r="C367" t="s">
        <v>548</v>
      </c>
      <c r="D367" t="s">
        <v>55</v>
      </c>
      <c r="H367" s="14" t="s">
        <v>525</v>
      </c>
    </row>
    <row r="368" spans="1:8" x14ac:dyDescent="0.2">
      <c r="A368" t="s">
        <v>381</v>
      </c>
      <c r="B368" s="14" t="s">
        <v>526</v>
      </c>
      <c r="C368" t="s">
        <v>548</v>
      </c>
      <c r="D368" s="1">
        <v>39.769809722900391</v>
      </c>
      <c r="H368" s="14" t="s">
        <v>526</v>
      </c>
    </row>
    <row r="369" spans="1:8" x14ac:dyDescent="0.2">
      <c r="A369" t="s">
        <v>382</v>
      </c>
      <c r="B369" s="14" t="s">
        <v>527</v>
      </c>
      <c r="C369" t="s">
        <v>548</v>
      </c>
      <c r="D369" s="1">
        <v>29.814538955688477</v>
      </c>
      <c r="H369" s="14" t="s">
        <v>527</v>
      </c>
    </row>
    <row r="370" spans="1:8" x14ac:dyDescent="0.2">
      <c r="A370" t="s">
        <v>383</v>
      </c>
      <c r="B370" s="14" t="s">
        <v>528</v>
      </c>
      <c r="C370" t="s">
        <v>548</v>
      </c>
      <c r="D370" s="1">
        <v>29.683502197265625</v>
      </c>
      <c r="H370" s="14" t="s">
        <v>528</v>
      </c>
    </row>
    <row r="371" spans="1:8" x14ac:dyDescent="0.2">
      <c r="A371" t="s">
        <v>384</v>
      </c>
      <c r="B371" s="14" t="s">
        <v>529</v>
      </c>
      <c r="C371" t="s">
        <v>548</v>
      </c>
      <c r="D371" s="1">
        <v>29.85693359375</v>
      </c>
      <c r="H371" s="14" t="s">
        <v>529</v>
      </c>
    </row>
    <row r="372" spans="1:8" x14ac:dyDescent="0.2">
      <c r="A372" t="s">
        <v>385</v>
      </c>
      <c r="B372" s="14" t="s">
        <v>530</v>
      </c>
      <c r="C372" t="s">
        <v>548</v>
      </c>
      <c r="D372" s="1">
        <v>29.532651901245117</v>
      </c>
      <c r="H372" s="14" t="s">
        <v>530</v>
      </c>
    </row>
    <row r="373" spans="1:8" x14ac:dyDescent="0.2">
      <c r="A373" t="s">
        <v>386</v>
      </c>
      <c r="B373" s="14" t="s">
        <v>531</v>
      </c>
      <c r="C373" t="s">
        <v>548</v>
      </c>
      <c r="D373" s="1">
        <v>29.377824783325195</v>
      </c>
      <c r="H373" s="14" t="s">
        <v>531</v>
      </c>
    </row>
    <row r="374" spans="1:8" x14ac:dyDescent="0.2">
      <c r="A374" t="s">
        <v>387</v>
      </c>
      <c r="B374" s="14" t="s">
        <v>532</v>
      </c>
      <c r="C374" t="s">
        <v>548</v>
      </c>
      <c r="D374" s="1">
        <v>29.486127853393555</v>
      </c>
      <c r="H374" s="14" t="s">
        <v>532</v>
      </c>
    </row>
    <row r="375" spans="1:8" x14ac:dyDescent="0.2">
      <c r="A375" t="s">
        <v>388</v>
      </c>
      <c r="B375" s="14" t="s">
        <v>533</v>
      </c>
      <c r="C375" t="s">
        <v>548</v>
      </c>
      <c r="D375" s="1">
        <v>30.254793167114258</v>
      </c>
      <c r="H375" s="14" t="s">
        <v>533</v>
      </c>
    </row>
    <row r="376" spans="1:8" x14ac:dyDescent="0.2">
      <c r="A376" t="s">
        <v>389</v>
      </c>
      <c r="B376" s="14" t="s">
        <v>534</v>
      </c>
      <c r="C376" t="s">
        <v>548</v>
      </c>
      <c r="D376" s="1">
        <v>30.017871856689453</v>
      </c>
      <c r="H376" s="14" t="s">
        <v>534</v>
      </c>
    </row>
    <row r="377" spans="1:8" x14ac:dyDescent="0.2">
      <c r="A377" t="s">
        <v>390</v>
      </c>
      <c r="B377" s="14" t="s">
        <v>535</v>
      </c>
      <c r="C377" t="s">
        <v>548</v>
      </c>
      <c r="D377" s="1">
        <v>29.892963409423828</v>
      </c>
      <c r="H377" s="14" t="s">
        <v>535</v>
      </c>
    </row>
    <row r="378" spans="1:8" x14ac:dyDescent="0.2">
      <c r="A378" t="s">
        <v>391</v>
      </c>
      <c r="B378" s="14" t="s">
        <v>536</v>
      </c>
      <c r="C378" t="s">
        <v>548</v>
      </c>
      <c r="D378" s="1">
        <v>29.875244140625</v>
      </c>
      <c r="H378" s="14" t="s">
        <v>536</v>
      </c>
    </row>
    <row r="379" spans="1:8" x14ac:dyDescent="0.2">
      <c r="A379" t="s">
        <v>392</v>
      </c>
      <c r="B379" s="14" t="s">
        <v>537</v>
      </c>
      <c r="C379" t="s">
        <v>548</v>
      </c>
      <c r="D379" s="1">
        <v>29.711563110351563</v>
      </c>
      <c r="H379" s="14" t="s">
        <v>537</v>
      </c>
    </row>
    <row r="380" spans="1:8" x14ac:dyDescent="0.2">
      <c r="A380" t="s">
        <v>393</v>
      </c>
      <c r="B380" s="14" t="s">
        <v>538</v>
      </c>
      <c r="C380" t="s">
        <v>548</v>
      </c>
      <c r="D380" s="1">
        <v>29.885251998901367</v>
      </c>
      <c r="H380" s="14" t="s">
        <v>538</v>
      </c>
    </row>
    <row r="381" spans="1:8" x14ac:dyDescent="0.2">
      <c r="A381" t="s">
        <v>394</v>
      </c>
      <c r="B381" s="14" t="s">
        <v>539</v>
      </c>
      <c r="C381" t="s">
        <v>548</v>
      </c>
      <c r="D381" s="1">
        <v>30.678977966308594</v>
      </c>
      <c r="H381" s="14" t="s">
        <v>539</v>
      </c>
    </row>
    <row r="382" spans="1:8" x14ac:dyDescent="0.2">
      <c r="A382" t="s">
        <v>395</v>
      </c>
      <c r="B382" s="14" t="s">
        <v>540</v>
      </c>
      <c r="C382" t="s">
        <v>548</v>
      </c>
      <c r="D382" s="1">
        <v>30.501552581787109</v>
      </c>
      <c r="H382" s="14" t="s">
        <v>540</v>
      </c>
    </row>
    <row r="383" spans="1:8" x14ac:dyDescent="0.2">
      <c r="A383" t="s">
        <v>396</v>
      </c>
      <c r="B383" s="14" t="s">
        <v>541</v>
      </c>
      <c r="C383" t="s">
        <v>548</v>
      </c>
      <c r="D383" s="1">
        <v>30.420845031738281</v>
      </c>
      <c r="H383" s="14" t="s">
        <v>541</v>
      </c>
    </row>
    <row r="384" spans="1:8" x14ac:dyDescent="0.2">
      <c r="A384" t="s">
        <v>397</v>
      </c>
      <c r="B384" s="3" t="s">
        <v>457</v>
      </c>
      <c r="C384" t="s">
        <v>548</v>
      </c>
      <c r="D384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548</v>
      </c>
      <c r="D385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548</v>
      </c>
      <c r="D386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548</v>
      </c>
      <c r="D387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548</v>
      </c>
      <c r="D388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548</v>
      </c>
      <c r="D389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548</v>
      </c>
      <c r="D390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548</v>
      </c>
      <c r="D39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548</v>
      </c>
      <c r="D392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548</v>
      </c>
      <c r="D393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548</v>
      </c>
      <c r="D394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548</v>
      </c>
      <c r="D395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548</v>
      </c>
      <c r="D396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548</v>
      </c>
      <c r="D397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548</v>
      </c>
      <c r="D398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548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548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548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280" workbookViewId="0">
      <selection activeCell="I300" sqref="I300"/>
    </sheetView>
  </sheetViews>
  <sheetFormatPr defaultRowHeight="12.75" x14ac:dyDescent="0.2"/>
  <cols>
    <col min="1" max="1" width="13.28515625" style="7" customWidth="1"/>
    <col min="2" max="2" width="16.85546875" style="7" customWidth="1"/>
    <col min="3" max="3" width="14.85546875" style="7" customWidth="1"/>
    <col min="4" max="4" width="14.7109375" style="7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" si="0">IF(B3="Undetermined",40.1,B3)</f>
        <v>40.1</v>
      </c>
      <c r="D3" s="3" t="str">
        <f>VLOOKUP(A3,'Exported Results'!A$42:D$161,2,FALSE)</f>
        <v>Blank 1.a</v>
      </c>
      <c r="E3" s="13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16"/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ref="C5:C68" si="1">IF(B5="Undetermined",40.1,B5)</f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36.972270965576172</v>
      </c>
      <c r="C6" s="6">
        <f t="shared" si="1"/>
        <v>36.972270965576172</v>
      </c>
      <c r="D6" s="3" t="str">
        <f>VLOOKUP(A6,'Exported Results'!A$42:D$161,2,FALSE)</f>
        <v>STD 10a</v>
      </c>
      <c r="E6" s="13">
        <f>AVERAGE(C6:C8)</f>
        <v>38.132823944091797</v>
      </c>
      <c r="F6">
        <f>_xlfn.STDEV.P(C6:C8)</f>
        <v>0.85414732043203478</v>
      </c>
    </row>
    <row r="7" spans="1:6" ht="14.25" x14ac:dyDescent="0.2">
      <c r="A7" s="5" t="s">
        <v>59</v>
      </c>
      <c r="B7" s="6">
        <f>VLOOKUP(A7,'Exported Results'!A$42:D$161,4,FALSE)</f>
        <v>38.422946929931641</v>
      </c>
      <c r="C7" s="6">
        <f t="shared" si="1"/>
        <v>38.422946929931641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39.003253936767578</v>
      </c>
      <c r="C8" s="6">
        <f t="shared" si="1"/>
        <v>39.003253936767578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38.318332672119141</v>
      </c>
      <c r="C9" s="6">
        <f t="shared" si="1"/>
        <v>38.318332672119141</v>
      </c>
      <c r="D9" s="3" t="str">
        <f>VLOOKUP(A9,'Exported Results'!A$42:D$161,2,FALSE)</f>
        <v>STD 20a</v>
      </c>
      <c r="E9" s="13">
        <f>AVERAGE(C9:C11)</f>
        <v>39.506110890706374</v>
      </c>
      <c r="F9">
        <f>_xlfn.STDEV.P(C9:C11)</f>
        <v>0.83988603290871511</v>
      </c>
    </row>
    <row r="10" spans="1:6" ht="14.25" x14ac:dyDescent="0.2">
      <c r="A10" s="5" t="s">
        <v>62</v>
      </c>
      <c r="B10" s="6" t="str">
        <f>VLOOKUP(A10,'Exported Results'!A$42:D$161,4,FALSE)</f>
        <v>Undetermined</v>
      </c>
      <c r="C10" s="6">
        <f t="shared" si="1"/>
        <v>40.1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 t="str">
        <f>VLOOKUP(A11,'Exported Results'!A$42:D$161,4,FALSE)</f>
        <v>Undetermined</v>
      </c>
      <c r="C11" s="6">
        <f t="shared" si="1"/>
        <v>40.1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 t="str">
        <f>VLOOKUP(A12,'Exported Results'!A$42:D$161,4,FALSE)</f>
        <v>Undetermined</v>
      </c>
      <c r="C12" s="6">
        <f t="shared" si="1"/>
        <v>40.1</v>
      </c>
      <c r="D12" s="3" t="str">
        <f>VLOOKUP(A12,'Exported Results'!A$42:D$161,2,FALSE)</f>
        <v>STD 40a</v>
      </c>
      <c r="E12" s="13">
        <f>AVERAGE(C12:C14)</f>
        <v>40.1</v>
      </c>
      <c r="F12">
        <f>_xlfn.STDEV.P(C12:C14)</f>
        <v>0</v>
      </c>
    </row>
    <row r="13" spans="1:6" ht="14.25" x14ac:dyDescent="0.2">
      <c r="A13" s="5" t="s">
        <v>65</v>
      </c>
      <c r="B13" s="6" t="str">
        <f>VLOOKUP(A13,'Exported Results'!A$42:D$161,4,FALSE)</f>
        <v>Undetermined</v>
      </c>
      <c r="C13" s="6">
        <f t="shared" si="1"/>
        <v>40.1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 t="str">
        <f>VLOOKUP(A14,'Exported Results'!A$42:D$161,4,FALSE)</f>
        <v>Undetermined</v>
      </c>
      <c r="C14" s="6">
        <f t="shared" si="1"/>
        <v>40.1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 t="str">
        <f>VLOOKUP(A15,'Exported Results'!A$42:D$161,4,FALSE)</f>
        <v>Undetermined</v>
      </c>
      <c r="C15" s="6">
        <f t="shared" si="1"/>
        <v>40.1</v>
      </c>
      <c r="D15" s="3" t="str">
        <f>VLOOKUP(A15,'Exported Results'!A$42:D$161,2,FALSE)</f>
        <v>STD 80a</v>
      </c>
      <c r="E15" s="13">
        <f>AVERAGE(C15:C17)</f>
        <v>39.359822336832686</v>
      </c>
      <c r="F15">
        <f>_xlfn.STDEV.P(C15:C17)</f>
        <v>1.0467692898168459</v>
      </c>
    </row>
    <row r="16" spans="1:6" ht="14.25" x14ac:dyDescent="0.2">
      <c r="A16" s="5" t="s">
        <v>68</v>
      </c>
      <c r="B16" s="6" t="str">
        <f>VLOOKUP(A16,'Exported Results'!A$42:D$161,4,FALSE)</f>
        <v>Undetermined</v>
      </c>
      <c r="C16" s="6">
        <f t="shared" si="1"/>
        <v>40.1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37.879467010498047</v>
      </c>
      <c r="C17" s="6">
        <f t="shared" si="1"/>
        <v>37.879467010498047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 t="str">
        <f>VLOOKUP(A18,'Exported Results'!A$42:D$161,4,FALSE)</f>
        <v>Undetermined</v>
      </c>
      <c r="C18" s="6">
        <f t="shared" si="1"/>
        <v>40.1</v>
      </c>
      <c r="D18" s="3" t="str">
        <f>VLOOKUP(A18,'Exported Results'!A$42:D$161,2,FALSE)</f>
        <v>STD 160a</v>
      </c>
      <c r="E18" s="13">
        <f>AVERAGE(C18:C20)</f>
        <v>40.1</v>
      </c>
      <c r="F18">
        <f>_xlfn.STDEV.P(C18:C20)</f>
        <v>0</v>
      </c>
    </row>
    <row r="19" spans="1:6" ht="14.25" x14ac:dyDescent="0.2">
      <c r="A19" s="5" t="s">
        <v>71</v>
      </c>
      <c r="B19" s="6" t="str">
        <f>VLOOKUP(A19,'Exported Results'!A$42:D$161,4,FALSE)</f>
        <v>Undetermined</v>
      </c>
      <c r="C19" s="6">
        <f t="shared" si="1"/>
        <v>40.1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 t="str">
        <f>VLOOKUP(A20,'Exported Results'!A$42:D$161,4,FALSE)</f>
        <v>Undetermined</v>
      </c>
      <c r="C20" s="6">
        <f t="shared" si="1"/>
        <v>40.1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 t="str">
        <f>VLOOKUP(A21,'Exported Results'!A$42:D$161,4,FALSE)</f>
        <v>Undetermined</v>
      </c>
      <c r="C21" s="6">
        <f t="shared" si="1"/>
        <v>40.1</v>
      </c>
      <c r="D21" s="3" t="str">
        <f>VLOOKUP(A21,'Exported Results'!A$42:D$161,2,FALSE)</f>
        <v>STD 320a</v>
      </c>
      <c r="E21" s="13">
        <f>AVERAGE(C21:C23)</f>
        <v>40.1</v>
      </c>
      <c r="F21">
        <f>_xlfn.STDEV.P(C21:C23)</f>
        <v>0</v>
      </c>
    </row>
    <row r="22" spans="1:6" ht="14.25" x14ac:dyDescent="0.2">
      <c r="A22" s="5" t="s">
        <v>74</v>
      </c>
      <c r="B22" s="6" t="str">
        <f>VLOOKUP(A22,'Exported Results'!A$42:D$161,4,FALSE)</f>
        <v>Undetermined</v>
      </c>
      <c r="C22" s="6">
        <f t="shared" si="1"/>
        <v>40.1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 t="str">
        <f>VLOOKUP(A23,'Exported Results'!A$42:D$161,4,FALSE)</f>
        <v>Undetermined</v>
      </c>
      <c r="C23" s="6">
        <f t="shared" si="1"/>
        <v>40.1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 t="str">
        <f>VLOOKUP(A24,'Exported Results'!A$42:D$161,4,FALSE)</f>
        <v>Undetermined</v>
      </c>
      <c r="C24" s="6">
        <f t="shared" si="1"/>
        <v>40.1</v>
      </c>
      <c r="D24" s="3" t="str">
        <f>VLOOKUP(A24,'Exported Results'!A$42:D$161,2,FALSE)</f>
        <v>0.1.a</v>
      </c>
      <c r="E24" s="13">
        <f>AVERAGE(C24:C26)</f>
        <v>39.54604822794596</v>
      </c>
      <c r="F24">
        <f>_xlfn.STDEV.P(C24:C26)</f>
        <v>0.7834061089394283</v>
      </c>
    </row>
    <row r="25" spans="1:6" ht="14.25" x14ac:dyDescent="0.2">
      <c r="A25" s="5" t="s">
        <v>77</v>
      </c>
      <c r="B25" s="6">
        <f>VLOOKUP(A25,'Exported Results'!A$42:D$161,4,FALSE)</f>
        <v>38.438144683837891</v>
      </c>
      <c r="C25" s="6">
        <f t="shared" si="1"/>
        <v>38.438144683837891</v>
      </c>
      <c r="D25" s="3" t="str">
        <f>VLOOKUP(A25,'Exported Results'!A$42:D$161,2,FALSE)</f>
        <v>0.1.b</v>
      </c>
    </row>
    <row r="26" spans="1:6" ht="14.25" x14ac:dyDescent="0.2">
      <c r="A26" s="5" t="s">
        <v>78</v>
      </c>
      <c r="B26" s="6" t="str">
        <f>VLOOKUP(A26,'Exported Results'!A$42:D$161,4,FALSE)</f>
        <v>Undetermined</v>
      </c>
      <c r="C26" s="6">
        <f t="shared" si="1"/>
        <v>40.1</v>
      </c>
      <c r="D26" s="3" t="str">
        <f>VLOOKUP(A26,'Exported Results'!A$42:D$161,2,FALSE)</f>
        <v>0.1.c</v>
      </c>
    </row>
    <row r="27" spans="1:6" ht="14.25" x14ac:dyDescent="0.2">
      <c r="A27" s="5" t="s">
        <v>79</v>
      </c>
      <c r="B27" s="6">
        <f>VLOOKUP(A27,'Exported Results'!A$42:D$161,4,FALSE)</f>
        <v>38.461299896240234</v>
      </c>
      <c r="C27" s="6">
        <f t="shared" si="1"/>
        <v>38.461299896240234</v>
      </c>
      <c r="D27" s="3" t="str">
        <f>VLOOKUP(A27,'Exported Results'!A$42:D$161,2,FALSE)</f>
        <v>0.2.a</v>
      </c>
      <c r="E27" s="13">
        <f>AVERAGE(C27:C29)</f>
        <v>39.553766632080077</v>
      </c>
      <c r="F27">
        <f>_xlfn.STDEV.P(C27:C29)</f>
        <v>0.77249063713308685</v>
      </c>
    </row>
    <row r="28" spans="1:6" ht="14.25" x14ac:dyDescent="0.2">
      <c r="A28" s="5" t="s">
        <v>80</v>
      </c>
      <c r="B28" s="6" t="str">
        <f>VLOOKUP(A28,'Exported Results'!A$42:D$161,4,FALSE)</f>
        <v>Undetermined</v>
      </c>
      <c r="C28" s="6">
        <f t="shared" si="1"/>
        <v>40.1</v>
      </c>
      <c r="D28" s="3" t="str">
        <f>VLOOKUP(A28,'Exported Results'!A$42:D$161,2,FALSE)</f>
        <v>0.2.b</v>
      </c>
    </row>
    <row r="29" spans="1:6" ht="14.25" x14ac:dyDescent="0.2">
      <c r="A29" s="5" t="s">
        <v>81</v>
      </c>
      <c r="B29" s="6" t="str">
        <f>VLOOKUP(A29,'Exported Results'!A$42:D$161,4,FALSE)</f>
        <v>Undetermined</v>
      </c>
      <c r="C29" s="6">
        <f t="shared" si="1"/>
        <v>40.1</v>
      </c>
      <c r="D29" s="3" t="str">
        <f>VLOOKUP(A29,'Exported Results'!A$42:D$161,2,FALSE)</f>
        <v>0.2.c</v>
      </c>
    </row>
    <row r="30" spans="1:6" ht="14.25" x14ac:dyDescent="0.2">
      <c r="A30" s="5" t="s">
        <v>82</v>
      </c>
      <c r="B30" s="6" t="str">
        <f>VLOOKUP(A30,'Exported Results'!A$42:D$161,4,FALSE)</f>
        <v>Undetermined</v>
      </c>
      <c r="C30" s="6">
        <f t="shared" si="1"/>
        <v>40.1</v>
      </c>
      <c r="D30" s="3" t="str">
        <f>VLOOKUP(A30,'Exported Results'!A$42:D$161,2,FALSE)</f>
        <v>0.3.a</v>
      </c>
      <c r="E30" s="13">
        <f>AVERAGE(C30:C32)</f>
        <v>40.1</v>
      </c>
      <c r="F30">
        <f>_xlfn.STDEV.P(C30:C32)</f>
        <v>0</v>
      </c>
    </row>
    <row r="31" spans="1:6" ht="14.25" x14ac:dyDescent="0.2">
      <c r="A31" s="5" t="s">
        <v>83</v>
      </c>
      <c r="B31" s="6" t="str">
        <f>VLOOKUP(A31,'Exported Results'!A$42:D$161,4,FALSE)</f>
        <v>Undetermined</v>
      </c>
      <c r="C31" s="6">
        <f t="shared" si="1"/>
        <v>40.1</v>
      </c>
      <c r="D31" s="3" t="str">
        <f>VLOOKUP(A31,'Exported Results'!A$42:D$161,2,FALSE)</f>
        <v>0.3.b</v>
      </c>
    </row>
    <row r="32" spans="1:6" ht="14.25" x14ac:dyDescent="0.2">
      <c r="A32" s="5" t="s">
        <v>84</v>
      </c>
      <c r="B32" s="6" t="str">
        <f>VLOOKUP(A32,'Exported Results'!A$42:D$161,4,FALSE)</f>
        <v>Undetermined</v>
      </c>
      <c r="C32" s="6">
        <f t="shared" si="1"/>
        <v>40.1</v>
      </c>
      <c r="D32" s="3" t="str">
        <f>VLOOKUP(A32,'Exported Results'!A$42:D$161,2,FALSE)</f>
        <v>0.3.c</v>
      </c>
    </row>
    <row r="33" spans="1:6" ht="14.25" x14ac:dyDescent="0.2">
      <c r="A33" s="5" t="s">
        <v>85</v>
      </c>
      <c r="B33" s="6" t="str">
        <f>VLOOKUP(A33,'Exported Results'!A$42:D$161,4,FALSE)</f>
        <v>Undetermined</v>
      </c>
      <c r="C33" s="6">
        <f t="shared" si="1"/>
        <v>40.1</v>
      </c>
      <c r="D33" s="3" t="str">
        <f>VLOOKUP(A33,'Exported Results'!A$42:D$161,2,FALSE)</f>
        <v>2.1.a</v>
      </c>
      <c r="E33" s="13">
        <f>AVERAGE(C33:C35)</f>
        <v>39.544691467285155</v>
      </c>
      <c r="F33">
        <f>_xlfn.STDEV.P(C33:C35)</f>
        <v>0.78532485826683618</v>
      </c>
    </row>
    <row r="34" spans="1:6" ht="14.25" x14ac:dyDescent="0.2">
      <c r="A34" s="5" t="s">
        <v>86</v>
      </c>
      <c r="B34" s="6">
        <f>VLOOKUP(A34,'Exported Results'!A$42:D$161,4,FALSE)</f>
        <v>38.434074401855469</v>
      </c>
      <c r="C34" s="6">
        <f t="shared" si="1"/>
        <v>38.434074401855469</v>
      </c>
      <c r="D34" s="3" t="str">
        <f>VLOOKUP(A34,'Exported Results'!A$42:D$161,2,FALSE)</f>
        <v>2.1.b</v>
      </c>
    </row>
    <row r="35" spans="1:6" ht="14.25" x14ac:dyDescent="0.2">
      <c r="A35" s="5" t="s">
        <v>87</v>
      </c>
      <c r="B35" s="6" t="str">
        <f>VLOOKUP(A35,'Exported Results'!A$42:D$161,4,FALSE)</f>
        <v>Undetermined</v>
      </c>
      <c r="C35" s="6">
        <f t="shared" si="1"/>
        <v>40.1</v>
      </c>
      <c r="D35" s="3" t="str">
        <f>VLOOKUP(A35,'Exported Results'!A$42:D$161,2,FALSE)</f>
        <v>2.1.c</v>
      </c>
    </row>
    <row r="36" spans="1:6" ht="14.25" x14ac:dyDescent="0.2">
      <c r="A36" s="5" t="s">
        <v>88</v>
      </c>
      <c r="B36" s="6">
        <f>VLOOKUP(A36,'Exported Results'!A$42:D$161,4,FALSE)</f>
        <v>38.205516815185547</v>
      </c>
      <c r="C36" s="6">
        <f t="shared" si="1"/>
        <v>38.205516815185547</v>
      </c>
      <c r="D36" s="3" t="str">
        <f>VLOOKUP(A36,'Exported Results'!A$42:D$161,2,FALSE)</f>
        <v>2.2.a</v>
      </c>
      <c r="E36" s="13">
        <f>AVERAGE(C36:C38)</f>
        <v>39.017572275797527</v>
      </c>
      <c r="F36">
        <f>_xlfn.STDEV.P(C36:C38)</f>
        <v>0.79669839758655048</v>
      </c>
    </row>
    <row r="37" spans="1:6" ht="14.25" x14ac:dyDescent="0.2">
      <c r="A37" s="5" t="s">
        <v>89</v>
      </c>
      <c r="B37" s="6" t="str">
        <f>VLOOKUP(A37,'Exported Results'!A$42:D$161,4,FALSE)</f>
        <v>Undetermined</v>
      </c>
      <c r="C37" s="6">
        <f t="shared" si="1"/>
        <v>40.1</v>
      </c>
      <c r="D37" s="3" t="str">
        <f>VLOOKUP(A37,'Exported Results'!A$42:D$161,2,FALSE)</f>
        <v>2.2.b</v>
      </c>
    </row>
    <row r="38" spans="1:6" ht="14.25" x14ac:dyDescent="0.2">
      <c r="A38" s="5" t="s">
        <v>90</v>
      </c>
      <c r="B38" s="6">
        <f>VLOOKUP(A38,'Exported Results'!A$42:D$161,4,FALSE)</f>
        <v>38.747200012207031</v>
      </c>
      <c r="C38" s="6">
        <f t="shared" si="1"/>
        <v>38.747200012207031</v>
      </c>
      <c r="D38" s="3" t="str">
        <f>VLOOKUP(A38,'Exported Results'!A$42:D$161,2,FALSE)</f>
        <v>2.2.c</v>
      </c>
    </row>
    <row r="39" spans="1:6" ht="14.25" x14ac:dyDescent="0.2">
      <c r="A39" s="5" t="s">
        <v>91</v>
      </c>
      <c r="B39" s="6" t="str">
        <f>VLOOKUP(A39,'Exported Results'!A$42:D$161,4,FALSE)</f>
        <v>Undetermined</v>
      </c>
      <c r="C39" s="6">
        <f t="shared" si="1"/>
        <v>40.1</v>
      </c>
      <c r="D39" s="3" t="str">
        <f>VLOOKUP(A39,'Exported Results'!A$42:D$161,2,FALSE)</f>
        <v>2.3.a</v>
      </c>
      <c r="E39" s="13">
        <f>AVERAGE(C39:C41)</f>
        <v>40.1</v>
      </c>
      <c r="F39">
        <f>_xlfn.STDEV.P(C39:C41)</f>
        <v>0</v>
      </c>
    </row>
    <row r="40" spans="1:6" ht="14.25" x14ac:dyDescent="0.2">
      <c r="A40" s="5" t="s">
        <v>92</v>
      </c>
      <c r="B40" s="6" t="str">
        <f>VLOOKUP(A40,'Exported Results'!A$42:D$161,4,FALSE)</f>
        <v>Undetermined</v>
      </c>
      <c r="C40" s="6">
        <f t="shared" si="1"/>
        <v>40.1</v>
      </c>
      <c r="D40" s="3" t="str">
        <f>VLOOKUP(A40,'Exported Results'!A$42:D$161,2,FALSE)</f>
        <v>2.3.b</v>
      </c>
    </row>
    <row r="41" spans="1:6" ht="14.25" x14ac:dyDescent="0.2">
      <c r="A41" s="5" t="s">
        <v>93</v>
      </c>
      <c r="B41" s="6" t="str">
        <f>VLOOKUP(A41,'Exported Results'!A$42:D$161,4,FALSE)</f>
        <v>Undetermined</v>
      </c>
      <c r="C41" s="6">
        <f t="shared" si="1"/>
        <v>40.1</v>
      </c>
      <c r="D41" s="3" t="str">
        <f>VLOOKUP(A41,'Exported Results'!A$42:D$161,2,FALSE)</f>
        <v>2.3.c</v>
      </c>
    </row>
    <row r="42" spans="1:6" ht="14.25" x14ac:dyDescent="0.2">
      <c r="A42" s="5" t="s">
        <v>94</v>
      </c>
      <c r="B42" s="6">
        <f>VLOOKUP(A42,'Exported Results'!A$42:D$161,4,FALSE)</f>
        <v>38.149326324462891</v>
      </c>
      <c r="C42" s="6">
        <f t="shared" si="1"/>
        <v>38.149326324462891</v>
      </c>
      <c r="D42" s="3" t="str">
        <f>VLOOKUP(A42,'Exported Results'!A$42:D$161,2,FALSE)</f>
        <v>8.1.a</v>
      </c>
      <c r="E42" s="13">
        <f>AVERAGE(C42:C44)</f>
        <v>38.832723490397136</v>
      </c>
      <c r="F42">
        <f>_xlfn.STDEV.P(C42:C44)</f>
        <v>0.89702035022643689</v>
      </c>
    </row>
    <row r="43" spans="1:6" ht="14.25" x14ac:dyDescent="0.2">
      <c r="A43" s="5" t="s">
        <v>95</v>
      </c>
      <c r="B43" s="6" t="str">
        <f>VLOOKUP(A43,'Exported Results'!A$42:D$161,4,FALSE)</f>
        <v>Undetermined</v>
      </c>
      <c r="C43" s="6">
        <f t="shared" si="1"/>
        <v>40.1</v>
      </c>
      <c r="D43" s="3" t="str">
        <f>VLOOKUP(A43,'Exported Results'!A$42:D$161,2,FALSE)</f>
        <v>8.1.b</v>
      </c>
    </row>
    <row r="44" spans="1:6" ht="14.25" x14ac:dyDescent="0.2">
      <c r="A44" s="5" t="s">
        <v>96</v>
      </c>
      <c r="B44" s="6">
        <f>VLOOKUP(A44,'Exported Results'!A$42:D$161,4,FALSE)</f>
        <v>38.248844146728516</v>
      </c>
      <c r="C44" s="6">
        <f t="shared" si="1"/>
        <v>38.248844146728516</v>
      </c>
      <c r="D44" s="3" t="str">
        <f>VLOOKUP(A44,'Exported Results'!A$42:D$161,2,FALSE)</f>
        <v>8.1.c</v>
      </c>
    </row>
    <row r="45" spans="1:6" ht="14.25" x14ac:dyDescent="0.2">
      <c r="A45" s="5" t="s">
        <v>97</v>
      </c>
      <c r="B45" s="6">
        <f>VLOOKUP(A45,'Exported Results'!A$42:D$161,4,FALSE)</f>
        <v>38.282154083251953</v>
      </c>
      <c r="C45" s="6">
        <f t="shared" si="1"/>
        <v>38.282154083251953</v>
      </c>
      <c r="D45" s="3" t="str">
        <f>VLOOKUP(A45,'Exported Results'!A$42:D$161,2,FALSE)</f>
        <v>8.2.a</v>
      </c>
      <c r="E45" s="13">
        <f>AVERAGE(C45:C47)</f>
        <v>38.916370900472003</v>
      </c>
      <c r="F45">
        <f>_xlfn.STDEV.P(C45:C47)</f>
        <v>0.83766792792948108</v>
      </c>
    </row>
    <row r="46" spans="1:6" ht="14.25" x14ac:dyDescent="0.2">
      <c r="A46" s="5" t="s">
        <v>98</v>
      </c>
      <c r="B46" s="6">
        <f>VLOOKUP(A46,'Exported Results'!A$42:D$161,4,FALSE)</f>
        <v>38.366958618164063</v>
      </c>
      <c r="C46" s="6">
        <f t="shared" si="1"/>
        <v>38.366958618164063</v>
      </c>
      <c r="D46" s="3" t="str">
        <f>VLOOKUP(A46,'Exported Results'!A$42:D$161,2,FALSE)</f>
        <v>8.2.b</v>
      </c>
    </row>
    <row r="47" spans="1:6" ht="14.25" x14ac:dyDescent="0.2">
      <c r="A47" s="5" t="s">
        <v>99</v>
      </c>
      <c r="B47" s="6" t="str">
        <f>VLOOKUP(A47,'Exported Results'!A$42:D$161,4,FALSE)</f>
        <v>Undetermined</v>
      </c>
      <c r="C47" s="6">
        <f t="shared" si="1"/>
        <v>40.1</v>
      </c>
      <c r="D47" s="3" t="str">
        <f>VLOOKUP(A47,'Exported Results'!A$42:D$161,2,FALSE)</f>
        <v>8.2.c</v>
      </c>
    </row>
    <row r="48" spans="1:6" ht="14.25" x14ac:dyDescent="0.2">
      <c r="A48" s="5" t="s">
        <v>100</v>
      </c>
      <c r="B48" s="6">
        <f>VLOOKUP(A48,'Exported Results'!A$42:D$161,4,FALSE)</f>
        <v>38.344089508056641</v>
      </c>
      <c r="C48" s="6">
        <f t="shared" si="1"/>
        <v>38.344089508056641</v>
      </c>
      <c r="D48" s="3" t="str">
        <f>VLOOKUP(A48,'Exported Results'!A$42:D$161,2,FALSE)</f>
        <v>8.3.a</v>
      </c>
      <c r="E48" s="13">
        <f>AVERAGE(C48:C50)</f>
        <v>38.91072260538737</v>
      </c>
      <c r="F48">
        <f>_xlfn.STDEV.P(C48:C50)</f>
        <v>0.84125693840920712</v>
      </c>
    </row>
    <row r="49" spans="1:6" ht="14.25" x14ac:dyDescent="0.2">
      <c r="A49" s="5" t="s">
        <v>101</v>
      </c>
      <c r="B49" s="6">
        <f>VLOOKUP(A49,'Exported Results'!A$42:D$161,4,FALSE)</f>
        <v>38.288078308105469</v>
      </c>
      <c r="C49" s="6">
        <f t="shared" si="1"/>
        <v>38.288078308105469</v>
      </c>
      <c r="D49" s="3" t="str">
        <f>VLOOKUP(A49,'Exported Results'!A$42:D$161,2,FALSE)</f>
        <v>8.3.b</v>
      </c>
    </row>
    <row r="50" spans="1:6" ht="14.25" x14ac:dyDescent="0.2">
      <c r="A50" s="5" t="s">
        <v>102</v>
      </c>
      <c r="B50" s="6" t="str">
        <f>VLOOKUP(A50,'Exported Results'!A$42:D$161,4,FALSE)</f>
        <v>Undetermined</v>
      </c>
      <c r="C50" s="6">
        <f t="shared" si="1"/>
        <v>40.1</v>
      </c>
      <c r="D50" s="3" t="str">
        <f>VLOOKUP(A50,'Exported Results'!A$42:D$161,2,FALSE)</f>
        <v>8.3.c</v>
      </c>
    </row>
    <row r="51" spans="1:6" ht="14.25" x14ac:dyDescent="0.2">
      <c r="A51" s="5" t="s">
        <v>103</v>
      </c>
      <c r="B51" s="6">
        <f>VLOOKUP(A51,'Exported Results'!A$42:D$161,4,FALSE)</f>
        <v>38.434394836425781</v>
      </c>
      <c r="C51" s="6">
        <f t="shared" si="1"/>
        <v>38.434394836425781</v>
      </c>
      <c r="D51" s="3" t="str">
        <f>VLOOKUP(A51,'Exported Results'!A$42:D$161,2,FALSE)</f>
        <v>0.4.a</v>
      </c>
      <c r="E51" s="13">
        <f>AVERAGE(C51:C53)</f>
        <v>38.935179901123043</v>
      </c>
      <c r="F51">
        <f>_xlfn.STDEV.P(C51:C53)</f>
        <v>0.82634417171651942</v>
      </c>
    </row>
    <row r="52" spans="1:6" ht="14.25" x14ac:dyDescent="0.2">
      <c r="A52" s="5" t="s">
        <v>104</v>
      </c>
      <c r="B52" s="6">
        <f>VLOOKUP(A52,'Exported Results'!A$42:D$161,4,FALSE)</f>
        <v>38.271144866943359</v>
      </c>
      <c r="C52" s="6">
        <f t="shared" si="1"/>
        <v>38.271144866943359</v>
      </c>
      <c r="D52" s="3" t="str">
        <f>VLOOKUP(A52,'Exported Results'!A$42:D$161,2,FALSE)</f>
        <v>0.4.b</v>
      </c>
    </row>
    <row r="53" spans="1:6" ht="14.25" x14ac:dyDescent="0.2">
      <c r="A53" s="5" t="s">
        <v>105</v>
      </c>
      <c r="B53" s="6" t="str">
        <f>VLOOKUP(A53,'Exported Results'!A$42:D$161,4,FALSE)</f>
        <v>Undetermined</v>
      </c>
      <c r="C53" s="6">
        <f t="shared" si="1"/>
        <v>40.1</v>
      </c>
      <c r="D53" s="3" t="str">
        <f>VLOOKUP(A53,'Exported Results'!A$42:D$161,2,FALSE)</f>
        <v>0.4.c</v>
      </c>
    </row>
    <row r="54" spans="1:6" ht="14.25" x14ac:dyDescent="0.2">
      <c r="A54" s="5" t="s">
        <v>106</v>
      </c>
      <c r="B54" s="6" t="str">
        <f>VLOOKUP(A54,'Exported Results'!A$42:D$161,4,FALSE)</f>
        <v>Undetermined</v>
      </c>
      <c r="C54" s="6">
        <f t="shared" si="1"/>
        <v>40.1</v>
      </c>
      <c r="D54" s="3" t="str">
        <f>VLOOKUP(A54,'Exported Results'!A$42:D$161,2,FALSE)</f>
        <v>0.5.a</v>
      </c>
      <c r="E54" s="13">
        <f>AVERAGE(C54:C56)</f>
        <v>39.517893218994139</v>
      </c>
      <c r="F54">
        <f>_xlfn.STDEV.P(C54:C56)</f>
        <v>0.82322330444783209</v>
      </c>
    </row>
    <row r="55" spans="1:6" ht="14.25" x14ac:dyDescent="0.2">
      <c r="A55" s="5" t="s">
        <v>107</v>
      </c>
      <c r="B55" s="6">
        <f>VLOOKUP(A55,'Exported Results'!A$42:D$161,4,FALSE)</f>
        <v>38.353679656982422</v>
      </c>
      <c r="C55" s="6">
        <f t="shared" si="1"/>
        <v>38.353679656982422</v>
      </c>
      <c r="D55" s="3" t="str">
        <f>VLOOKUP(A55,'Exported Results'!A$42:D$161,2,FALSE)</f>
        <v>0.5.b</v>
      </c>
    </row>
    <row r="56" spans="1:6" ht="14.25" x14ac:dyDescent="0.2">
      <c r="A56" s="5" t="s">
        <v>108</v>
      </c>
      <c r="B56" s="6" t="str">
        <f>VLOOKUP(A56,'Exported Results'!A$42:D$161,4,FALSE)</f>
        <v>Undetermined</v>
      </c>
      <c r="C56" s="6">
        <f t="shared" si="1"/>
        <v>40.1</v>
      </c>
      <c r="D56" s="3" t="str">
        <f>VLOOKUP(A56,'Exported Results'!A$42:D$161,2,FALSE)</f>
        <v>0.5.c</v>
      </c>
    </row>
    <row r="57" spans="1:6" ht="14.25" x14ac:dyDescent="0.2">
      <c r="A57" s="5" t="s">
        <v>109</v>
      </c>
      <c r="B57" s="6" t="str">
        <f>VLOOKUP(A57,'Exported Results'!A$42:D$161,4,FALSE)</f>
        <v>Undetermined</v>
      </c>
      <c r="C57" s="6">
        <f t="shared" si="1"/>
        <v>40.1</v>
      </c>
      <c r="D57" s="3" t="str">
        <f>VLOOKUP(A57,'Exported Results'!A$42:D$161,2,FALSE)</f>
        <v>0.6.a</v>
      </c>
      <c r="E57" s="13">
        <f>AVERAGE(C57:C59)</f>
        <v>40.1</v>
      </c>
      <c r="F57">
        <f>_xlfn.STDEV.P(C57:C59)</f>
        <v>0</v>
      </c>
    </row>
    <row r="58" spans="1:6" ht="14.25" x14ac:dyDescent="0.2">
      <c r="A58" s="5" t="s">
        <v>110</v>
      </c>
      <c r="B58" s="6" t="str">
        <f>VLOOKUP(A58,'Exported Results'!A$42:D$161,4,FALSE)</f>
        <v>Undetermined</v>
      </c>
      <c r="C58" s="6">
        <f t="shared" si="1"/>
        <v>40.1</v>
      </c>
      <c r="D58" s="3" t="str">
        <f>VLOOKUP(A58,'Exported Results'!A$42:D$161,2,FALSE)</f>
        <v>0.6.b</v>
      </c>
    </row>
    <row r="59" spans="1:6" ht="14.25" x14ac:dyDescent="0.2">
      <c r="A59" s="5" t="s">
        <v>111</v>
      </c>
      <c r="B59" s="6" t="str">
        <f>VLOOKUP(A59,'Exported Results'!A$42:D$161,4,FALSE)</f>
        <v>Undetermined</v>
      </c>
      <c r="C59" s="6">
        <f t="shared" si="1"/>
        <v>40.1</v>
      </c>
      <c r="D59" s="3" t="str">
        <f>VLOOKUP(A59,'Exported Results'!A$42:D$161,2,FALSE)</f>
        <v>0.6.c</v>
      </c>
    </row>
    <row r="60" spans="1:6" ht="14.25" x14ac:dyDescent="0.2">
      <c r="A60" s="5" t="s">
        <v>112</v>
      </c>
      <c r="B60" s="6" t="str">
        <f>VLOOKUP(A60,'Exported Results'!A$42:D$161,4,FALSE)</f>
        <v>Undetermined</v>
      </c>
      <c r="C60" s="6">
        <f t="shared" si="1"/>
        <v>40.1</v>
      </c>
      <c r="D60" s="3" t="str">
        <f>VLOOKUP(A60,'Exported Results'!A$42:D$161,2,FALSE)</f>
        <v>0.7.a</v>
      </c>
      <c r="E60" s="13">
        <f>AVERAGE(C60:C62)</f>
        <v>40.1</v>
      </c>
      <c r="F60">
        <f>_xlfn.STDEV.P(C60:C62)</f>
        <v>0</v>
      </c>
    </row>
    <row r="61" spans="1:6" ht="14.25" x14ac:dyDescent="0.2">
      <c r="A61" s="5" t="s">
        <v>113</v>
      </c>
      <c r="B61" s="6" t="str">
        <f>VLOOKUP(A61,'Exported Results'!A$42:D$161,4,FALSE)</f>
        <v>Undetermined</v>
      </c>
      <c r="C61" s="6">
        <f t="shared" si="1"/>
        <v>40.1</v>
      </c>
      <c r="D61" s="3" t="str">
        <f>VLOOKUP(A61,'Exported Results'!A$42:D$161,2,FALSE)</f>
        <v>0.7.b</v>
      </c>
    </row>
    <row r="62" spans="1:6" ht="14.25" x14ac:dyDescent="0.2">
      <c r="A62" s="5" t="s">
        <v>114</v>
      </c>
      <c r="B62" s="6" t="str">
        <f>VLOOKUP(A62,'Exported Results'!A$42:D$161,4,FALSE)</f>
        <v>Undetermined</v>
      </c>
      <c r="C62" s="6">
        <f t="shared" si="1"/>
        <v>40.1</v>
      </c>
      <c r="D62" s="3" t="str">
        <f>VLOOKUP(A62,'Exported Results'!A$42:D$161,2,FALSE)</f>
        <v>0.7.c</v>
      </c>
    </row>
    <row r="63" spans="1:6" ht="14.25" x14ac:dyDescent="0.2">
      <c r="A63" s="5" t="s">
        <v>115</v>
      </c>
      <c r="B63" s="6" t="str">
        <f>VLOOKUP(A63,'Exported Results'!A$42:D$161,4,FALSE)</f>
        <v>Undetermined</v>
      </c>
      <c r="C63" s="6">
        <f t="shared" si="1"/>
        <v>40.1</v>
      </c>
      <c r="D63" s="3" t="str">
        <f>VLOOKUP(A63,'Exported Results'!A$42:D$161,2,FALSE)</f>
        <v>0.8.a</v>
      </c>
      <c r="E63" s="13">
        <f>AVERAGE(C63:C65)</f>
        <v>39.534785970052084</v>
      </c>
      <c r="F63">
        <f>_xlfn.STDEV.P(C63:C65)</f>
        <v>0.79933334679589718</v>
      </c>
    </row>
    <row r="64" spans="1:6" ht="14.25" x14ac:dyDescent="0.2">
      <c r="A64" s="5" t="s">
        <v>116</v>
      </c>
      <c r="B64" s="6" t="str">
        <f>VLOOKUP(A64,'Exported Results'!A$42:D$161,4,FALSE)</f>
        <v>Undetermined</v>
      </c>
      <c r="C64" s="6">
        <f t="shared" si="1"/>
        <v>40.1</v>
      </c>
      <c r="D64" s="3" t="str">
        <f>VLOOKUP(A64,'Exported Results'!A$42:D$161,2,FALSE)</f>
        <v>0.8.b</v>
      </c>
    </row>
    <row r="65" spans="1:6" ht="14.25" x14ac:dyDescent="0.2">
      <c r="A65" s="5" t="s">
        <v>117</v>
      </c>
      <c r="B65" s="6">
        <f>VLOOKUP(A65,'Exported Results'!A$42:D$161,4,FALSE)</f>
        <v>38.40435791015625</v>
      </c>
      <c r="C65" s="6">
        <f t="shared" si="1"/>
        <v>38.40435791015625</v>
      </c>
      <c r="D65" s="3" t="str">
        <f>VLOOKUP(A65,'Exported Results'!A$42:D$161,2,FALSE)</f>
        <v>0.8.c</v>
      </c>
    </row>
    <row r="66" spans="1:6" ht="14.25" x14ac:dyDescent="0.2">
      <c r="A66" s="5" t="s">
        <v>118</v>
      </c>
      <c r="B66" s="6" t="str">
        <f>VLOOKUP(A66,'Exported Results'!A$42:D$161,4,FALSE)</f>
        <v>Undetermined</v>
      </c>
      <c r="C66" s="6">
        <f t="shared" si="1"/>
        <v>40.1</v>
      </c>
      <c r="D66" s="3" t="str">
        <f>VLOOKUP(A66,'Exported Results'!A$42:D$161,2,FALSE)</f>
        <v>0.9.a</v>
      </c>
      <c r="E66" s="13">
        <f>AVERAGE(C66:C68)</f>
        <v>40.1</v>
      </c>
      <c r="F66">
        <f>_xlfn.STDEV.P(C66:C68)</f>
        <v>0</v>
      </c>
    </row>
    <row r="67" spans="1:6" ht="14.25" x14ac:dyDescent="0.2">
      <c r="A67" s="5" t="s">
        <v>119</v>
      </c>
      <c r="B67" s="6" t="str">
        <f>VLOOKUP(A67,'Exported Results'!A$42:D$161,4,FALSE)</f>
        <v>Undetermined</v>
      </c>
      <c r="C67" s="6">
        <f t="shared" si="1"/>
        <v>40.1</v>
      </c>
      <c r="D67" s="3" t="str">
        <f>VLOOKUP(A67,'Exported Results'!A$42:D$161,2,FALSE)</f>
        <v>0.9.b</v>
      </c>
    </row>
    <row r="68" spans="1:6" ht="14.25" x14ac:dyDescent="0.2">
      <c r="A68" s="5" t="s">
        <v>120</v>
      </c>
      <c r="B68" s="6" t="str">
        <f>VLOOKUP(A68,'Exported Results'!A$42:D$161,4,FALSE)</f>
        <v>Undetermined</v>
      </c>
      <c r="C68" s="6">
        <f t="shared" si="1"/>
        <v>40.1</v>
      </c>
      <c r="D68" s="3" t="str">
        <f>VLOOKUP(A68,'Exported Results'!A$42:D$161,2,FALSE)</f>
        <v>0.9.c</v>
      </c>
    </row>
    <row r="69" spans="1:6" ht="14.25" x14ac:dyDescent="0.2">
      <c r="A69" s="5" t="s">
        <v>121</v>
      </c>
      <c r="B69" s="6">
        <f>VLOOKUP(A69,'Exported Results'!A$42:D$161,4,FALSE)</f>
        <v>37.267616271972656</v>
      </c>
      <c r="C69" s="6">
        <f t="shared" ref="C69:C94" si="2">IF(B69="Undetermined",40.1,B69)</f>
        <v>37.267616271972656</v>
      </c>
      <c r="D69" s="3" t="str">
        <f>VLOOKUP(A69,'Exported Results'!A$42:D$161,2,FALSE)</f>
        <v>2.4.a</v>
      </c>
      <c r="E69" s="13">
        <f>AVERAGE(C69:C71)</f>
        <v>39.155872090657546</v>
      </c>
      <c r="F69">
        <f>_xlfn.STDEV.P(C69:C71)</f>
        <v>1.3351984940070465</v>
      </c>
    </row>
    <row r="70" spans="1:6" ht="14.25" x14ac:dyDescent="0.2">
      <c r="A70" s="5" t="s">
        <v>122</v>
      </c>
      <c r="B70" s="6" t="str">
        <f>VLOOKUP(A70,'Exported Results'!A$42:D$161,4,FALSE)</f>
        <v>Undetermined</v>
      </c>
      <c r="C70" s="6">
        <f t="shared" si="2"/>
        <v>40.1</v>
      </c>
      <c r="D70" s="3" t="str">
        <f>VLOOKUP(A70,'Exported Results'!A$42:D$161,2,FALSE)</f>
        <v>2.4.b</v>
      </c>
    </row>
    <row r="71" spans="1:6" ht="14.25" x14ac:dyDescent="0.2">
      <c r="A71" s="5" t="s">
        <v>123</v>
      </c>
      <c r="B71" s="6" t="str">
        <f>VLOOKUP(A71,'Exported Results'!A$42:D$161,4,FALSE)</f>
        <v>Undetermined</v>
      </c>
      <c r="C71" s="6">
        <f t="shared" si="2"/>
        <v>40.1</v>
      </c>
      <c r="D71" s="3" t="str">
        <f>VLOOKUP(A71,'Exported Results'!A$42:D$161,2,FALSE)</f>
        <v>2.4.c</v>
      </c>
    </row>
    <row r="72" spans="1:6" ht="14.25" x14ac:dyDescent="0.2">
      <c r="A72" s="5" t="s">
        <v>124</v>
      </c>
      <c r="B72" s="6" t="str">
        <f>VLOOKUP(A72,'Exported Results'!A$42:D$161,4,FALSE)</f>
        <v>Undetermined</v>
      </c>
      <c r="C72" s="6">
        <f t="shared" si="2"/>
        <v>40.1</v>
      </c>
      <c r="D72" s="3" t="str">
        <f>VLOOKUP(A72,'Exported Results'!A$42:D$161,2,FALSE)</f>
        <v>2.5.a</v>
      </c>
      <c r="E72" s="13">
        <f>AVERAGE(C72:C74)</f>
        <v>40.1</v>
      </c>
      <c r="F72">
        <f>_xlfn.STDEV.P(C72:C74)</f>
        <v>0</v>
      </c>
    </row>
    <row r="73" spans="1:6" ht="14.25" x14ac:dyDescent="0.2">
      <c r="A73" s="5" t="s">
        <v>125</v>
      </c>
      <c r="B73" s="6" t="str">
        <f>VLOOKUP(A73,'Exported Results'!A$42:D$161,4,FALSE)</f>
        <v>Undetermined</v>
      </c>
      <c r="C73" s="6">
        <f t="shared" si="2"/>
        <v>40.1</v>
      </c>
      <c r="D73" s="3" t="str">
        <f>VLOOKUP(A73,'Exported Results'!A$42:D$161,2,FALSE)</f>
        <v>2.5.b</v>
      </c>
    </row>
    <row r="74" spans="1:6" ht="14.25" x14ac:dyDescent="0.2">
      <c r="A74" s="5" t="s">
        <v>126</v>
      </c>
      <c r="B74" s="6" t="str">
        <f>VLOOKUP(A74,'Exported Results'!A$42:D$161,4,FALSE)</f>
        <v>Undetermined</v>
      </c>
      <c r="C74" s="6">
        <f t="shared" si="2"/>
        <v>40.1</v>
      </c>
      <c r="D74" s="3" t="str">
        <f>VLOOKUP(A74,'Exported Results'!A$42:D$161,2,FALSE)</f>
        <v>2.5.c</v>
      </c>
    </row>
    <row r="75" spans="1:6" ht="14.25" x14ac:dyDescent="0.2">
      <c r="A75" s="5" t="s">
        <v>127</v>
      </c>
      <c r="B75" s="6" t="str">
        <f>VLOOKUP(A75,'Exported Results'!A$42:D$161,4,FALSE)</f>
        <v>Undetermined</v>
      </c>
      <c r="C75" s="6">
        <f t="shared" si="2"/>
        <v>40.1</v>
      </c>
      <c r="D75" s="3" t="str">
        <f>VLOOKUP(A75,'Exported Results'!A$42:D$161,2,FALSE)</f>
        <v>2.6.a</v>
      </c>
      <c r="E75" s="13">
        <f>AVERAGE(C75:C77)</f>
        <v>40.1</v>
      </c>
      <c r="F75">
        <f>_xlfn.STDEV.P(C75:C77)</f>
        <v>0</v>
      </c>
    </row>
    <row r="76" spans="1:6" ht="14.25" x14ac:dyDescent="0.2">
      <c r="A76" s="5" t="s">
        <v>128</v>
      </c>
      <c r="B76" s="6" t="str">
        <f>VLOOKUP(A76,'Exported Results'!A$42:D$161,4,FALSE)</f>
        <v>Undetermined</v>
      </c>
      <c r="C76" s="6">
        <f t="shared" si="2"/>
        <v>40.1</v>
      </c>
      <c r="D76" s="3" t="str">
        <f>VLOOKUP(A76,'Exported Results'!A$42:D$161,2,FALSE)</f>
        <v>2.6.b</v>
      </c>
    </row>
    <row r="77" spans="1:6" ht="14.25" x14ac:dyDescent="0.2">
      <c r="A77" s="5" t="s">
        <v>129</v>
      </c>
      <c r="B77" s="6" t="str">
        <f>VLOOKUP(A77,'Exported Results'!A$42:D$161,4,FALSE)</f>
        <v>Undetermined</v>
      </c>
      <c r="C77" s="6">
        <f t="shared" si="2"/>
        <v>40.1</v>
      </c>
      <c r="D77" s="3" t="str">
        <f>VLOOKUP(A77,'Exported Results'!A$42:D$161,2,FALSE)</f>
        <v>2.6.c</v>
      </c>
    </row>
    <row r="78" spans="1:6" ht="14.25" x14ac:dyDescent="0.2">
      <c r="A78" s="5" t="s">
        <v>130</v>
      </c>
      <c r="B78" s="6">
        <f>VLOOKUP(A78,'Exported Results'!A$42:D$161,4,FALSE)</f>
        <v>37.118560791015625</v>
      </c>
      <c r="C78" s="6">
        <f t="shared" si="2"/>
        <v>37.118560791015625</v>
      </c>
      <c r="D78" s="3" t="str">
        <f>VLOOKUP(A78,'Exported Results'!A$42:D$161,2,FALSE)</f>
        <v>2.7.a</v>
      </c>
      <c r="E78" s="13">
        <f>AVERAGE(C78:C80)</f>
        <v>38.474318695068355</v>
      </c>
      <c r="F78">
        <f>_xlfn.STDEV.P(C78:C80)</f>
        <v>1.2320413740276397</v>
      </c>
    </row>
    <row r="79" spans="1:6" ht="14.25" x14ac:dyDescent="0.2">
      <c r="A79" s="5" t="s">
        <v>131</v>
      </c>
      <c r="B79" s="6" t="str">
        <f>VLOOKUP(A79,'Exported Results'!A$42:D$161,4,FALSE)</f>
        <v>Undetermined</v>
      </c>
      <c r="C79" s="6">
        <f t="shared" si="2"/>
        <v>40.1</v>
      </c>
      <c r="D79" s="3" t="str">
        <f>VLOOKUP(A79,'Exported Results'!A$42:D$161,2,FALSE)</f>
        <v>2.7.b</v>
      </c>
    </row>
    <row r="80" spans="1:6" ht="14.25" x14ac:dyDescent="0.2">
      <c r="A80" s="5" t="s">
        <v>132</v>
      </c>
      <c r="B80" s="6">
        <f>VLOOKUP(A80,'Exported Results'!A$42:D$161,4,FALSE)</f>
        <v>38.204395294189453</v>
      </c>
      <c r="C80" s="6">
        <f t="shared" si="2"/>
        <v>38.204395294189453</v>
      </c>
      <c r="D80" s="3" t="str">
        <f>VLOOKUP(A80,'Exported Results'!A$42:D$161,2,FALSE)</f>
        <v>2.7.c</v>
      </c>
    </row>
    <row r="81" spans="1:6" ht="14.25" x14ac:dyDescent="0.2">
      <c r="A81" s="5" t="s">
        <v>133</v>
      </c>
      <c r="B81" s="6" t="str">
        <f>VLOOKUP(A81,'Exported Results'!A$42:D$161,4,FALSE)</f>
        <v>Undetermined</v>
      </c>
      <c r="C81" s="16"/>
      <c r="D81" s="3" t="str">
        <f>VLOOKUP(A81,'Exported Results'!A$42:D$161,2,FALSE)</f>
        <v>2.8.a</v>
      </c>
      <c r="E81" s="13" t="e">
        <f>AVERAGE(C81:C83)</f>
        <v>#DIV/0!</v>
      </c>
      <c r="F81" t="e">
        <f>_xlfn.STDEV.P(C81:C83)</f>
        <v>#DIV/0!</v>
      </c>
    </row>
    <row r="82" spans="1:6" ht="14.25" x14ac:dyDescent="0.2">
      <c r="A82" s="5" t="s">
        <v>134</v>
      </c>
      <c r="B82" s="6" t="str">
        <f>VLOOKUP(A82,'Exported Results'!A$42:D$161,4,FALSE)</f>
        <v>Undetermined</v>
      </c>
      <c r="C82" s="16"/>
      <c r="D82" s="3" t="str">
        <f>VLOOKUP(A82,'Exported Results'!A$42:D$161,2,FALSE)</f>
        <v>2.8.b</v>
      </c>
    </row>
    <row r="83" spans="1:6" ht="14.25" x14ac:dyDescent="0.2">
      <c r="A83" s="5" t="s">
        <v>135</v>
      </c>
      <c r="B83" s="6" t="str">
        <f>VLOOKUP(A83,'Exported Results'!A$42:D$161,4,FALSE)</f>
        <v>Undetermined</v>
      </c>
      <c r="C83" s="16"/>
      <c r="D83" s="3" t="str">
        <f>VLOOKUP(A83,'Exported Results'!A$42:D$161,2,FALSE)</f>
        <v>2.8.c</v>
      </c>
    </row>
    <row r="84" spans="1:6" ht="14.25" x14ac:dyDescent="0.2">
      <c r="A84" s="5" t="s">
        <v>136</v>
      </c>
      <c r="B84" s="6" t="str">
        <f>VLOOKUP(A84,'Exported Results'!A$42:D$161,4,FALSE)</f>
        <v>Undetermined</v>
      </c>
      <c r="C84" s="6">
        <f t="shared" si="2"/>
        <v>40.1</v>
      </c>
      <c r="D84" s="3" t="str">
        <f>VLOOKUP(A84,'Exported Results'!A$42:D$161,2,FALSE)</f>
        <v>2.9.a</v>
      </c>
      <c r="E84" s="13">
        <f>AVERAGE(C84:C86)</f>
        <v>39.160395050048827</v>
      </c>
      <c r="F84">
        <f>_xlfn.STDEV.P(C84:C86)</f>
        <v>1.3288020634938411</v>
      </c>
    </row>
    <row r="85" spans="1:6" ht="14.25" x14ac:dyDescent="0.2">
      <c r="A85" s="5" t="s">
        <v>137</v>
      </c>
      <c r="B85" s="6" t="str">
        <f>VLOOKUP(A85,'Exported Results'!A$42:D$161,4,FALSE)</f>
        <v>Undetermined</v>
      </c>
      <c r="C85" s="6">
        <f t="shared" si="2"/>
        <v>40.1</v>
      </c>
      <c r="D85" s="3" t="str">
        <f>VLOOKUP(A85,'Exported Results'!A$42:D$161,2,FALSE)</f>
        <v>2.9.b</v>
      </c>
    </row>
    <row r="86" spans="1:6" ht="14.25" x14ac:dyDescent="0.2">
      <c r="A86" s="5" t="s">
        <v>138</v>
      </c>
      <c r="B86" s="6">
        <f>VLOOKUP(A86,'Exported Results'!A$42:D$161,4,FALSE)</f>
        <v>37.281185150146484</v>
      </c>
      <c r="C86" s="6">
        <f t="shared" si="2"/>
        <v>37.281185150146484</v>
      </c>
      <c r="D86" s="3" t="str">
        <f>VLOOKUP(A86,'Exported Results'!A$42:D$161,2,FALSE)</f>
        <v>2.9.c</v>
      </c>
    </row>
    <row r="87" spans="1:6" ht="14.25" x14ac:dyDescent="0.2">
      <c r="A87" s="5" t="s">
        <v>139</v>
      </c>
      <c r="B87" s="6" t="str">
        <f>VLOOKUP(A87,'Exported Results'!A$42:D$161,4,FALSE)</f>
        <v>Undetermined</v>
      </c>
      <c r="C87" s="16"/>
      <c r="D87" s="3" t="str">
        <f>VLOOKUP(A87,'Exported Results'!A$42:D$161,2,FALSE)</f>
        <v>8.4.a</v>
      </c>
      <c r="E87" s="13" t="e">
        <f>AVERAGE(C87:C89)</f>
        <v>#DIV/0!</v>
      </c>
      <c r="F87" t="e">
        <f>_xlfn.STDEV.P(C87:C89)</f>
        <v>#DIV/0!</v>
      </c>
    </row>
    <row r="88" spans="1:6" ht="14.25" x14ac:dyDescent="0.2">
      <c r="A88" s="5" t="s">
        <v>140</v>
      </c>
      <c r="B88" s="6" t="str">
        <f>VLOOKUP(A88,'Exported Results'!A$42:D$161,4,FALSE)</f>
        <v>Undetermined</v>
      </c>
      <c r="C88" s="16"/>
      <c r="D88" s="3" t="str">
        <f>VLOOKUP(A88,'Exported Results'!A$42:D$161,2,FALSE)</f>
        <v>8.4.b</v>
      </c>
    </row>
    <row r="89" spans="1:6" ht="14.25" x14ac:dyDescent="0.2">
      <c r="A89" s="5" t="s">
        <v>141</v>
      </c>
      <c r="B89" s="6" t="str">
        <f>VLOOKUP(A89,'Exported Results'!A$42:D$161,4,FALSE)</f>
        <v>Undetermined</v>
      </c>
      <c r="C89" s="16"/>
      <c r="D89" s="3" t="str">
        <f>VLOOKUP(A89,'Exported Results'!A$42:D$161,2,FALSE)</f>
        <v>8.4.c</v>
      </c>
    </row>
    <row r="90" spans="1:6" ht="14.25" x14ac:dyDescent="0.2">
      <c r="A90" s="5" t="s">
        <v>142</v>
      </c>
      <c r="B90" s="6" t="str">
        <f>VLOOKUP(A90,'Exported Results'!A$42:D$161,4,FALSE)</f>
        <v>Undetermined</v>
      </c>
      <c r="C90" s="6">
        <f t="shared" si="2"/>
        <v>40.1</v>
      </c>
      <c r="D90" s="3" t="str">
        <f>VLOOKUP(A90,'Exported Results'!A$42:D$161,2,FALSE)</f>
        <v>8.5.a</v>
      </c>
      <c r="E90" s="13">
        <f>AVERAGE(C90:C92)</f>
        <v>39.504265848795576</v>
      </c>
      <c r="F90">
        <f>_xlfn.STDEV.P(C90:C92)</f>
        <v>0.84249531620212548</v>
      </c>
    </row>
    <row r="91" spans="1:6" ht="14.25" x14ac:dyDescent="0.2">
      <c r="A91" s="5" t="s">
        <v>143</v>
      </c>
      <c r="B91" s="6" t="str">
        <f>VLOOKUP(A91,'Exported Results'!A$42:D$161,4,FALSE)</f>
        <v>Undetermined</v>
      </c>
      <c r="C91" s="6">
        <f t="shared" si="2"/>
        <v>40.1</v>
      </c>
      <c r="D91" s="3" t="str">
        <f>VLOOKUP(A91,'Exported Results'!A$42:D$161,2,FALSE)</f>
        <v>8.5.b</v>
      </c>
    </row>
    <row r="92" spans="1:6" ht="14.25" x14ac:dyDescent="0.2">
      <c r="A92" s="5" t="s">
        <v>144</v>
      </c>
      <c r="B92" s="6">
        <f>VLOOKUP(A92,'Exported Results'!A$42:D$161,4,FALSE)</f>
        <v>38.312797546386719</v>
      </c>
      <c r="C92" s="6">
        <f t="shared" si="2"/>
        <v>38.312797546386719</v>
      </c>
      <c r="D92" s="3" t="str">
        <f>VLOOKUP(A92,'Exported Results'!A$42:D$161,2,FALSE)</f>
        <v>8.5.c</v>
      </c>
    </row>
    <row r="93" spans="1:6" ht="14.25" x14ac:dyDescent="0.2">
      <c r="A93" s="5" t="s">
        <v>145</v>
      </c>
      <c r="B93" s="6" t="str">
        <f>VLOOKUP(A93,'Exported Results'!A$42:D$161,4,FALSE)</f>
        <v>Undetermined</v>
      </c>
      <c r="C93" s="6">
        <f t="shared" si="2"/>
        <v>40.1</v>
      </c>
      <c r="D93" s="3" t="str">
        <f>VLOOKUP(A93,'Exported Results'!A$42:D$161,2,FALSE)</f>
        <v>8.6.a</v>
      </c>
      <c r="E93" s="13">
        <f>AVERAGE(C93:C95)</f>
        <v>39.475949350992842</v>
      </c>
      <c r="F93">
        <f>_xlfn.STDEV.P(C93:C95)</f>
        <v>0.88254089143366043</v>
      </c>
    </row>
    <row r="94" spans="1:6" ht="14.25" x14ac:dyDescent="0.2">
      <c r="A94" s="5" t="s">
        <v>146</v>
      </c>
      <c r="B94" s="6" t="str">
        <f>VLOOKUP(A94,'Exported Results'!A$42:D$161,4,FALSE)</f>
        <v>Undetermined</v>
      </c>
      <c r="C94" s="6">
        <f t="shared" si="2"/>
        <v>40.1</v>
      </c>
      <c r="D94" s="3" t="str">
        <f>VLOOKUP(A94,'Exported Results'!A$42:D$161,2,FALSE)</f>
        <v>8.6.b</v>
      </c>
    </row>
    <row r="95" spans="1:6" ht="14.25" x14ac:dyDescent="0.2">
      <c r="A95" s="5" t="s">
        <v>147</v>
      </c>
      <c r="B95" s="6">
        <f>VLOOKUP(A95,'Exported Results'!A$42:D$161,4,FALSE)</f>
        <v>38.227848052978516</v>
      </c>
      <c r="C95" s="6">
        <f t="shared" ref="C95:C122" si="3">IF(B95="Undetermined",40.1,B95)</f>
        <v>38.227848052978516</v>
      </c>
      <c r="D95" s="3" t="str">
        <f>VLOOKUP(A95,'Exported Results'!A$42:D$161,2,FALSE)</f>
        <v>8.6.c</v>
      </c>
    </row>
    <row r="96" spans="1:6" ht="14.25" x14ac:dyDescent="0.2">
      <c r="A96" s="5" t="s">
        <v>148</v>
      </c>
      <c r="B96" s="6" t="str">
        <f>VLOOKUP(A96,'Exported Results'!A$42:D$161,4,FALSE)</f>
        <v>Undetermined</v>
      </c>
      <c r="C96" s="6">
        <f t="shared" si="3"/>
        <v>40.1</v>
      </c>
      <c r="D96" s="3" t="str">
        <f>VLOOKUP(A96,'Exported Results'!A$42:D$161,2,FALSE)</f>
        <v>8.7.a</v>
      </c>
      <c r="E96" s="13">
        <f>AVERAGE(C96:C98)</f>
        <v>39.338629150390624</v>
      </c>
      <c r="F96">
        <f>_xlfn.STDEV.P(C96:C98)</f>
        <v>1.076740981513105</v>
      </c>
    </row>
    <row r="97" spans="1:6" ht="14.25" x14ac:dyDescent="0.2">
      <c r="A97" s="5" t="s">
        <v>149</v>
      </c>
      <c r="B97" s="6">
        <f>VLOOKUP(A97,'Exported Results'!A$42:D$161,4,FALSE)</f>
        <v>37.815887451171875</v>
      </c>
      <c r="C97" s="6">
        <f t="shared" si="3"/>
        <v>37.815887451171875</v>
      </c>
      <c r="D97" s="3" t="str">
        <f>VLOOKUP(A97,'Exported Results'!A$42:D$161,2,FALSE)</f>
        <v>8.7.b</v>
      </c>
    </row>
    <row r="98" spans="1:6" ht="14.25" x14ac:dyDescent="0.2">
      <c r="A98" s="5" t="s">
        <v>150</v>
      </c>
      <c r="B98" s="6" t="str">
        <f>VLOOKUP(A98,'Exported Results'!A$42:D$161,4,FALSE)</f>
        <v>Undetermined</v>
      </c>
      <c r="C98" s="6">
        <f t="shared" si="3"/>
        <v>40.1</v>
      </c>
      <c r="D98" s="3" t="str">
        <f>VLOOKUP(A98,'Exported Results'!A$42:D$161,2,FALSE)</f>
        <v>8.7.c</v>
      </c>
    </row>
    <row r="99" spans="1:6" ht="14.25" x14ac:dyDescent="0.2">
      <c r="A99" s="5" t="s">
        <v>151</v>
      </c>
      <c r="B99" s="6">
        <f>VLOOKUP(A99,'Exported Results'!A$42:D$161,4,FALSE)</f>
        <v>38.349628448486328</v>
      </c>
      <c r="C99" s="6">
        <f t="shared" si="3"/>
        <v>38.349628448486328</v>
      </c>
      <c r="D99" s="3" t="str">
        <f>VLOOKUP(A99,'Exported Results'!A$42:D$161,2,FALSE)</f>
        <v>8.8.a</v>
      </c>
      <c r="E99" s="13">
        <f>AVERAGE(C99:C101)</f>
        <v>39.516542816162108</v>
      </c>
      <c r="F99">
        <f>_xlfn.STDEV.P(C99:C101)</f>
        <v>0.8251330624475578</v>
      </c>
    </row>
    <row r="100" spans="1:6" ht="14.25" x14ac:dyDescent="0.2">
      <c r="A100" s="5" t="s">
        <v>152</v>
      </c>
      <c r="B100" s="6" t="str">
        <f>VLOOKUP(A100,'Exported Results'!A$42:D$161,4,FALSE)</f>
        <v>Undetermined</v>
      </c>
      <c r="C100" s="6">
        <f t="shared" si="3"/>
        <v>40.1</v>
      </c>
      <c r="D100" s="3" t="str">
        <f>VLOOKUP(A100,'Exported Results'!A$42:D$161,2,FALSE)</f>
        <v>8.8.b</v>
      </c>
    </row>
    <row r="101" spans="1:6" ht="14.25" x14ac:dyDescent="0.2">
      <c r="A101" s="5" t="s">
        <v>153</v>
      </c>
      <c r="B101" s="6" t="str">
        <f>VLOOKUP(A101,'Exported Results'!A$42:D$161,4,FALSE)</f>
        <v>Undetermined</v>
      </c>
      <c r="C101" s="6">
        <f t="shared" si="3"/>
        <v>40.1</v>
      </c>
      <c r="D101" s="3" t="str">
        <f>VLOOKUP(A101,'Exported Results'!A$42:D$161,2,FALSE)</f>
        <v>8.8.c</v>
      </c>
    </row>
    <row r="102" spans="1:6" ht="14.25" x14ac:dyDescent="0.2">
      <c r="A102" s="5" t="s">
        <v>154</v>
      </c>
      <c r="B102" s="6">
        <f>VLOOKUP(A102,'Exported Results'!A$42:D$161,4,FALSE)</f>
        <v>37.092201232910156</v>
      </c>
      <c r="C102" s="6">
        <f t="shared" si="3"/>
        <v>37.092201232910156</v>
      </c>
      <c r="D102" s="3" t="str">
        <f>VLOOKUP(A102,'Exported Results'!A$42:D$161,2,FALSE)</f>
        <v>8.9.a</v>
      </c>
      <c r="E102" s="13">
        <f>AVERAGE(C102:C104)</f>
        <v>38.475787353515621</v>
      </c>
      <c r="F102">
        <f>_xlfn.STDEV.P(C102:C104)</f>
        <v>1.239661028815058</v>
      </c>
    </row>
    <row r="103" spans="1:6" ht="14.25" x14ac:dyDescent="0.2">
      <c r="A103" s="5" t="s">
        <v>155</v>
      </c>
      <c r="B103" s="6">
        <f>VLOOKUP(A103,'Exported Results'!A$42:D$161,4,FALSE)</f>
        <v>38.235160827636719</v>
      </c>
      <c r="C103" s="6">
        <f t="shared" si="3"/>
        <v>38.235160827636719</v>
      </c>
      <c r="D103" s="3" t="str">
        <f>VLOOKUP(A103,'Exported Results'!A$42:D$161,2,FALSE)</f>
        <v>8.9.b</v>
      </c>
    </row>
    <row r="104" spans="1:6" ht="14.25" x14ac:dyDescent="0.2">
      <c r="A104" s="5" t="s">
        <v>156</v>
      </c>
      <c r="B104" s="6" t="str">
        <f>VLOOKUP(A104,'Exported Results'!A$42:D$161,4,FALSE)</f>
        <v>Undetermined</v>
      </c>
      <c r="C104" s="6">
        <f t="shared" si="3"/>
        <v>40.1</v>
      </c>
      <c r="D104" s="3" t="str">
        <f>VLOOKUP(A104,'Exported Results'!A$42:D$161,2,FALSE)</f>
        <v>8.9.c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3"/>
        <v>40.1</v>
      </c>
      <c r="D105" s="3" t="str">
        <f>VLOOKUP(A105,'Exported Results'!A$42:D$161,2,FALSE)</f>
        <v/>
      </c>
      <c r="E105" s="13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3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3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3"/>
        <v>40.1</v>
      </c>
      <c r="D108" s="3" t="str">
        <f>VLOOKUP(A108,'Exported Results'!A$42:D$161,2,FALSE)</f>
        <v/>
      </c>
      <c r="E108" s="13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3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3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3"/>
        <v>40.1</v>
      </c>
      <c r="D111" s="3" t="str">
        <f>VLOOKUP(A111,'Exported Results'!A$42:D$161,2,FALSE)</f>
        <v/>
      </c>
      <c r="E111" s="13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3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3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3"/>
        <v>40.1</v>
      </c>
      <c r="D114" s="3" t="str">
        <f>VLOOKUP(A114,'Exported Results'!A$42:D$161,2,FALSE)</f>
        <v/>
      </c>
      <c r="E114" s="13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3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3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3"/>
        <v>40.1</v>
      </c>
      <c r="D117" s="3" t="str">
        <f>VLOOKUP(A117,'Exported Results'!A$42:D$161,2,FALSE)</f>
        <v/>
      </c>
      <c r="E117" s="13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3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3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3"/>
        <v>40.1</v>
      </c>
      <c r="D120" s="3" t="str">
        <f>VLOOKUP(A120,'Exported Results'!A$42:D$161,2,FALSE)</f>
        <v/>
      </c>
      <c r="E120" s="13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3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3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ref="C123:C137" si="4">IF(B123="Undetermined",40.1,B123)</f>
        <v>40.1</v>
      </c>
      <c r="D123" s="3" t="str">
        <f>VLOOKUP(A123,'Exported Results'!A$162:D$281,2,FALSE)</f>
        <v>Blank 1.a</v>
      </c>
      <c r="E123" s="13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4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4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26.340841293334961</v>
      </c>
      <c r="C126" s="6">
        <f t="shared" si="4"/>
        <v>26.340841293334961</v>
      </c>
      <c r="D126" s="3" t="str">
        <f>VLOOKUP(A126,'Exported Results'!A$162:D$281,2,FALSE)</f>
        <v>STD 10a</v>
      </c>
      <c r="E126" s="13">
        <f>AVERAGE(C126:C128)</f>
        <v>26.31768798828125</v>
      </c>
      <c r="F126">
        <f>_xlfn.STDEV.P(C126:C128)</f>
        <v>2.3153305053710938E-2</v>
      </c>
    </row>
    <row r="127" spans="1:6" ht="14.25" x14ac:dyDescent="0.2">
      <c r="A127" s="5" t="s">
        <v>179</v>
      </c>
      <c r="B127" s="6">
        <f>VLOOKUP(A127,'Exported Results'!A$162:D$281,4,FALSE)</f>
        <v>25.656772613525391</v>
      </c>
      <c r="C127" s="16"/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26.294534683227539</v>
      </c>
      <c r="C128" s="6">
        <f t="shared" si="4"/>
        <v>26.294534683227539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27.157211303710938</v>
      </c>
      <c r="C129" s="6">
        <f t="shared" si="4"/>
        <v>27.157211303710938</v>
      </c>
      <c r="D129" s="3" t="str">
        <f>VLOOKUP(A129,'Exported Results'!A$162:D$281,2,FALSE)</f>
        <v>STD 20a</v>
      </c>
      <c r="E129" s="13">
        <f>AVERAGE(C129:C131)</f>
        <v>26.988927205403645</v>
      </c>
      <c r="F129">
        <f>_xlfn.STDEV.P(C129:C131)</f>
        <v>0.23648610252970512</v>
      </c>
    </row>
    <row r="130" spans="1:6" ht="14.25" x14ac:dyDescent="0.2">
      <c r="A130" s="5" t="s">
        <v>182</v>
      </c>
      <c r="B130" s="6">
        <f>VLOOKUP(A130,'Exported Results'!A$162:D$281,4,FALSE)</f>
        <v>27.155082702636719</v>
      </c>
      <c r="C130" s="6">
        <f t="shared" si="4"/>
        <v>27.155082702636719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26.654487609863281</v>
      </c>
      <c r="C131" s="6">
        <f t="shared" si="4"/>
        <v>26.654487609863281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28.242462158203125</v>
      </c>
      <c r="C132" s="6">
        <f t="shared" si="4"/>
        <v>28.242462158203125</v>
      </c>
      <c r="D132" s="3" t="str">
        <f>VLOOKUP(A132,'Exported Results'!A$162:D$281,2,FALSE)</f>
        <v>STD 40a</v>
      </c>
      <c r="E132" s="13">
        <f>AVERAGE(C132:C134)</f>
        <v>28.210165023803711</v>
      </c>
      <c r="F132">
        <f>_xlfn.STDEV.P(C132:C134)</f>
        <v>5.1523199333139529E-2</v>
      </c>
    </row>
    <row r="133" spans="1:6" ht="14.25" x14ac:dyDescent="0.2">
      <c r="A133" s="5" t="s">
        <v>185</v>
      </c>
      <c r="B133" s="6">
        <f>VLOOKUP(A133,'Exported Results'!A$162:D$281,4,FALSE)</f>
        <v>28.137451171875</v>
      </c>
      <c r="C133" s="6">
        <f t="shared" si="4"/>
        <v>28.137451171875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28.250581741333008</v>
      </c>
      <c r="C134" s="6">
        <f t="shared" si="4"/>
        <v>28.250581741333008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29.049842834472656</v>
      </c>
      <c r="C135" s="6">
        <f t="shared" si="4"/>
        <v>29.049842834472656</v>
      </c>
      <c r="D135" s="3" t="str">
        <f>VLOOKUP(A135,'Exported Results'!A$162:D$281,2,FALSE)</f>
        <v>STD 80a</v>
      </c>
      <c r="E135" s="13">
        <f>AVERAGE(C135:C137)</f>
        <v>29.209850947062176</v>
      </c>
      <c r="F135">
        <f>_xlfn.STDEV.P(C135:C137)</f>
        <v>0.14845087930271114</v>
      </c>
    </row>
    <row r="136" spans="1:6" ht="14.25" x14ac:dyDescent="0.2">
      <c r="A136" s="5" t="s">
        <v>188</v>
      </c>
      <c r="B136" s="6">
        <f>VLOOKUP(A136,'Exported Results'!A$162:D$281,4,FALSE)</f>
        <v>29.407560348510742</v>
      </c>
      <c r="C136" s="6">
        <f t="shared" si="4"/>
        <v>29.407560348510742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29.172149658203125</v>
      </c>
      <c r="C137" s="6">
        <f t="shared" si="4"/>
        <v>29.172149658203125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30.547342300415039</v>
      </c>
      <c r="C138" s="6">
        <f t="shared" ref="C138:C190" si="5">IF(B138="Undetermined",40.1,B138)</f>
        <v>30.547342300415039</v>
      </c>
      <c r="D138" s="3" t="str">
        <f>VLOOKUP(A138,'Exported Results'!A$162:D$281,2,FALSE)</f>
        <v>STD 160a</v>
      </c>
      <c r="E138" s="13">
        <f>AVERAGE(C138:C140)</f>
        <v>30.489621480305988</v>
      </c>
      <c r="F138">
        <f>_xlfn.STDEV.P(C138:C140)</f>
        <v>6.814126823254564E-2</v>
      </c>
    </row>
    <row r="139" spans="1:6" ht="14.25" x14ac:dyDescent="0.2">
      <c r="A139" s="5" t="s">
        <v>191</v>
      </c>
      <c r="B139" s="6">
        <f>VLOOKUP(A139,'Exported Results'!A$162:D$281,4,FALSE)</f>
        <v>30.527589797973633</v>
      </c>
      <c r="C139" s="6">
        <f t="shared" si="5"/>
        <v>30.527589797973633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30.393932342529297</v>
      </c>
      <c r="C140" s="6">
        <f t="shared" si="5"/>
        <v>30.393932342529297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31.644254684448242</v>
      </c>
      <c r="C141" s="6">
        <f t="shared" si="5"/>
        <v>31.644254684448242</v>
      </c>
      <c r="D141" s="3" t="str">
        <f>VLOOKUP(A141,'Exported Results'!A$162:D$281,2,FALSE)</f>
        <v>STD 320a</v>
      </c>
      <c r="E141" s="13">
        <f>AVERAGE(C141:C143)</f>
        <v>31.748273213704426</v>
      </c>
      <c r="F141">
        <f>_xlfn.STDEV.P(C141:C143)</f>
        <v>0.13298788325022665</v>
      </c>
    </row>
    <row r="142" spans="1:6" ht="14.25" x14ac:dyDescent="0.2">
      <c r="A142" s="5" t="s">
        <v>194</v>
      </c>
      <c r="B142" s="6">
        <f>VLOOKUP(A142,'Exported Results'!A$162:D$281,4,FALSE)</f>
        <v>31.664585113525391</v>
      </c>
      <c r="C142" s="6">
        <f t="shared" si="5"/>
        <v>31.664585113525391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31.935979843139648</v>
      </c>
      <c r="C143" s="6">
        <f t="shared" si="5"/>
        <v>31.935979843139648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28.120441436767578</v>
      </c>
      <c r="C144" s="6">
        <f t="shared" si="5"/>
        <v>28.120441436767578</v>
      </c>
      <c r="D144" s="3" t="str">
        <f>VLOOKUP(A144,'Exported Results'!A$162:D$281,2,FALSE)</f>
        <v>0.1.a</v>
      </c>
      <c r="E144" s="13">
        <f>AVERAGE(C144:C146)</f>
        <v>28.053436915079754</v>
      </c>
      <c r="F144">
        <f>_xlfn.STDEV.P(C144:C146)</f>
        <v>4.9050163049076827E-2</v>
      </c>
    </row>
    <row r="145" spans="1:6" ht="14.25" x14ac:dyDescent="0.2">
      <c r="A145" s="5" t="s">
        <v>197</v>
      </c>
      <c r="B145" s="6">
        <f>VLOOKUP(A145,'Exported Results'!A$162:D$281,4,FALSE)</f>
        <v>28.035480499267578</v>
      </c>
      <c r="C145" s="6">
        <f t="shared" si="5"/>
        <v>28.035480499267578</v>
      </c>
      <c r="D145" s="3" t="str">
        <f>VLOOKUP(A145,'Exported Results'!A$162:D$281,2,FALSE)</f>
        <v>0.1.b</v>
      </c>
    </row>
    <row r="146" spans="1:6" ht="14.25" x14ac:dyDescent="0.2">
      <c r="A146" s="5" t="s">
        <v>198</v>
      </c>
      <c r="B146" s="6">
        <f>VLOOKUP(A146,'Exported Results'!A$162:D$281,4,FALSE)</f>
        <v>28.004388809204102</v>
      </c>
      <c r="C146" s="6">
        <f t="shared" si="5"/>
        <v>28.004388809204102</v>
      </c>
      <c r="D146" s="3" t="str">
        <f>VLOOKUP(A146,'Exported Results'!A$162:D$281,2,FALSE)</f>
        <v>0.1.c</v>
      </c>
    </row>
    <row r="147" spans="1:6" ht="14.25" x14ac:dyDescent="0.2">
      <c r="A147" s="5" t="s">
        <v>199</v>
      </c>
      <c r="B147" s="6">
        <f>VLOOKUP(A147,'Exported Results'!A$162:D$281,4,FALSE)</f>
        <v>28.373489379882813</v>
      </c>
      <c r="C147" s="6">
        <f t="shared" si="5"/>
        <v>28.373489379882813</v>
      </c>
      <c r="D147" s="3" t="str">
        <f>VLOOKUP(A147,'Exported Results'!A$162:D$281,2,FALSE)</f>
        <v>0.2.a</v>
      </c>
      <c r="E147" s="13">
        <f>AVERAGE(C147:C149)</f>
        <v>28.280895233154297</v>
      </c>
      <c r="F147">
        <f>_xlfn.STDEV.P(C147:C149)</f>
        <v>8.1555029470644316E-2</v>
      </c>
    </row>
    <row r="148" spans="1:6" ht="14.25" x14ac:dyDescent="0.2">
      <c r="A148" s="5" t="s">
        <v>200</v>
      </c>
      <c r="B148" s="6">
        <f>VLOOKUP(A148,'Exported Results'!A$162:D$281,4,FALSE)</f>
        <v>28.175045013427734</v>
      </c>
      <c r="C148" s="6">
        <f t="shared" si="5"/>
        <v>28.175045013427734</v>
      </c>
      <c r="D148" s="3" t="str">
        <f>VLOOKUP(A148,'Exported Results'!A$162:D$281,2,FALSE)</f>
        <v>0.2.b</v>
      </c>
    </row>
    <row r="149" spans="1:6" ht="14.25" x14ac:dyDescent="0.2">
      <c r="A149" s="5" t="s">
        <v>201</v>
      </c>
      <c r="B149" s="6">
        <f>VLOOKUP(A149,'Exported Results'!A$162:D$281,4,FALSE)</f>
        <v>28.294151306152344</v>
      </c>
      <c r="C149" s="6">
        <f t="shared" si="5"/>
        <v>28.294151306152344</v>
      </c>
      <c r="D149" s="3" t="str">
        <f>VLOOKUP(A149,'Exported Results'!A$162:D$281,2,FALSE)</f>
        <v>0.2.c</v>
      </c>
    </row>
    <row r="150" spans="1:6" ht="14.25" x14ac:dyDescent="0.2">
      <c r="A150" s="5" t="s">
        <v>202</v>
      </c>
      <c r="B150" s="6">
        <f>VLOOKUP(A150,'Exported Results'!A$162:D$281,4,FALSE)</f>
        <v>28.232669830322266</v>
      </c>
      <c r="C150" s="6">
        <f t="shared" si="5"/>
        <v>28.232669830322266</v>
      </c>
      <c r="D150" s="3" t="str">
        <f>VLOOKUP(A150,'Exported Results'!A$162:D$281,2,FALSE)</f>
        <v>0.3.a</v>
      </c>
      <c r="E150" s="13">
        <f>AVERAGE(C150:C152)</f>
        <v>28.262846628824871</v>
      </c>
      <c r="F150">
        <f>_xlfn.STDEV.P(C150:C152)</f>
        <v>6.9934633984890762E-2</v>
      </c>
    </row>
    <row r="151" spans="1:6" ht="14.25" x14ac:dyDescent="0.2">
      <c r="A151" s="5" t="s">
        <v>203</v>
      </c>
      <c r="B151" s="6">
        <f>VLOOKUP(A151,'Exported Results'!A$162:D$281,4,FALSE)</f>
        <v>28.359502792358398</v>
      </c>
      <c r="C151" s="6">
        <f t="shared" si="5"/>
        <v>28.359502792358398</v>
      </c>
      <c r="D151" s="3" t="str">
        <f>VLOOKUP(A151,'Exported Results'!A$162:D$281,2,FALSE)</f>
        <v>0.3.b</v>
      </c>
    </row>
    <row r="152" spans="1:6" ht="14.25" x14ac:dyDescent="0.2">
      <c r="A152" s="5" t="s">
        <v>204</v>
      </c>
      <c r="B152" s="6">
        <f>VLOOKUP(A152,'Exported Results'!A$162:D$281,4,FALSE)</f>
        <v>28.196367263793945</v>
      </c>
      <c r="C152" s="6">
        <f t="shared" si="5"/>
        <v>28.196367263793945</v>
      </c>
      <c r="D152" s="3" t="str">
        <f>VLOOKUP(A152,'Exported Results'!A$162:D$281,2,FALSE)</f>
        <v>0.3.c</v>
      </c>
    </row>
    <row r="153" spans="1:6" ht="14.25" x14ac:dyDescent="0.2">
      <c r="A153" s="5" t="s">
        <v>205</v>
      </c>
      <c r="B153" s="6">
        <f>VLOOKUP(A153,'Exported Results'!A$162:D$281,4,FALSE)</f>
        <v>27.964836120605469</v>
      </c>
      <c r="C153" s="6">
        <f t="shared" si="5"/>
        <v>27.964836120605469</v>
      </c>
      <c r="D153" s="3" t="str">
        <f>VLOOKUP(A153,'Exported Results'!A$162:D$281,2,FALSE)</f>
        <v>2.1.a</v>
      </c>
      <c r="E153" s="13">
        <f>AVERAGE(C153:C155)</f>
        <v>28.160039901733398</v>
      </c>
      <c r="F153">
        <f>_xlfn.STDEV.P(C153:C155)</f>
        <v>0.13827217762113816</v>
      </c>
    </row>
    <row r="154" spans="1:6" ht="14.25" x14ac:dyDescent="0.2">
      <c r="A154" s="5" t="s">
        <v>206</v>
      </c>
      <c r="B154" s="6">
        <f>VLOOKUP(A154,'Exported Results'!A$162:D$281,4,FALSE)</f>
        <v>28.267662048339844</v>
      </c>
      <c r="C154" s="6">
        <f t="shared" si="5"/>
        <v>28.267662048339844</v>
      </c>
      <c r="D154" s="3" t="str">
        <f>VLOOKUP(A154,'Exported Results'!A$162:D$281,2,FALSE)</f>
        <v>2.1.b</v>
      </c>
    </row>
    <row r="155" spans="1:6" ht="14.25" x14ac:dyDescent="0.2">
      <c r="A155" s="5" t="s">
        <v>207</v>
      </c>
      <c r="B155" s="6">
        <f>VLOOKUP(A155,'Exported Results'!A$162:D$281,4,FALSE)</f>
        <v>28.247621536254883</v>
      </c>
      <c r="C155" s="6">
        <f t="shared" si="5"/>
        <v>28.247621536254883</v>
      </c>
      <c r="D155" s="3" t="str">
        <f>VLOOKUP(A155,'Exported Results'!A$162:D$281,2,FALSE)</f>
        <v>2.1.c</v>
      </c>
    </row>
    <row r="156" spans="1:6" ht="14.25" x14ac:dyDescent="0.2">
      <c r="A156" s="5" t="s">
        <v>208</v>
      </c>
      <c r="B156" s="6">
        <f>VLOOKUP(A156,'Exported Results'!A$162:D$281,4,FALSE)</f>
        <v>28.554746627807617</v>
      </c>
      <c r="C156" s="6">
        <f t="shared" si="5"/>
        <v>28.554746627807617</v>
      </c>
      <c r="D156" s="3" t="str">
        <f>VLOOKUP(A156,'Exported Results'!A$162:D$281,2,FALSE)</f>
        <v>2.2.a</v>
      </c>
      <c r="E156" s="13">
        <f>AVERAGE(C156:C158)</f>
        <v>28.672781626383465</v>
      </c>
      <c r="F156">
        <f>_xlfn.STDEV.P(C156:C158)</f>
        <v>0.13793183192729314</v>
      </c>
    </row>
    <row r="157" spans="1:6" ht="14.25" x14ac:dyDescent="0.2">
      <c r="A157" s="5" t="s">
        <v>209</v>
      </c>
      <c r="B157" s="6">
        <f>VLOOKUP(A157,'Exported Results'!A$162:D$281,4,FALSE)</f>
        <v>28.866292953491211</v>
      </c>
      <c r="C157" s="6">
        <f t="shared" si="5"/>
        <v>28.866292953491211</v>
      </c>
      <c r="D157" s="3" t="str">
        <f>VLOOKUP(A157,'Exported Results'!A$162:D$281,2,FALSE)</f>
        <v>2.2.b</v>
      </c>
    </row>
    <row r="158" spans="1:6" ht="14.25" x14ac:dyDescent="0.2">
      <c r="A158" s="5" t="s">
        <v>210</v>
      </c>
      <c r="B158" s="6">
        <f>VLOOKUP(A158,'Exported Results'!A$162:D$281,4,FALSE)</f>
        <v>28.597305297851563</v>
      </c>
      <c r="C158" s="6">
        <f t="shared" si="5"/>
        <v>28.597305297851563</v>
      </c>
      <c r="D158" s="3" t="str">
        <f>VLOOKUP(A158,'Exported Results'!A$162:D$281,2,FALSE)</f>
        <v>2.2.c</v>
      </c>
    </row>
    <row r="159" spans="1:6" ht="14.25" x14ac:dyDescent="0.2">
      <c r="A159" s="5" t="s">
        <v>211</v>
      </c>
      <c r="B159" s="6">
        <f>VLOOKUP(A159,'Exported Results'!A$162:D$281,4,FALSE)</f>
        <v>28.112768173217773</v>
      </c>
      <c r="C159" s="6">
        <f t="shared" si="5"/>
        <v>28.112768173217773</v>
      </c>
      <c r="D159" s="3" t="str">
        <f>VLOOKUP(A159,'Exported Results'!A$162:D$281,2,FALSE)</f>
        <v>2.3.a</v>
      </c>
      <c r="E159" s="13">
        <f>AVERAGE(C159:C161)</f>
        <v>28.189650217692058</v>
      </c>
      <c r="F159">
        <f>_xlfn.STDEV.P(C159:C161)</f>
        <v>0.14730840083234351</v>
      </c>
    </row>
    <row r="160" spans="1:6" ht="14.25" x14ac:dyDescent="0.2">
      <c r="A160" s="5" t="s">
        <v>212</v>
      </c>
      <c r="B160" s="6">
        <f>VLOOKUP(A160,'Exported Results'!A$162:D$281,4,FALSE)</f>
        <v>28.395771026611328</v>
      </c>
      <c r="C160" s="6">
        <f t="shared" si="5"/>
        <v>28.395771026611328</v>
      </c>
      <c r="D160" s="3" t="str">
        <f>VLOOKUP(A160,'Exported Results'!A$162:D$281,2,FALSE)</f>
        <v>2.3.b</v>
      </c>
    </row>
    <row r="161" spans="1:6" ht="14.25" x14ac:dyDescent="0.2">
      <c r="A161" s="5" t="s">
        <v>213</v>
      </c>
      <c r="B161" s="6">
        <f>VLOOKUP(A161,'Exported Results'!A$162:D$281,4,FALSE)</f>
        <v>28.06041145324707</v>
      </c>
      <c r="C161" s="6">
        <f t="shared" si="5"/>
        <v>28.06041145324707</v>
      </c>
      <c r="D161" s="3" t="str">
        <f>VLOOKUP(A161,'Exported Results'!A$162:D$281,2,FALSE)</f>
        <v>2.3.c</v>
      </c>
    </row>
    <row r="162" spans="1:6" ht="14.25" x14ac:dyDescent="0.2">
      <c r="A162" s="5" t="s">
        <v>214</v>
      </c>
      <c r="B162" s="6">
        <f>VLOOKUP(A162,'Exported Results'!A$162:D$281,4,FALSE)</f>
        <v>28.364028930664063</v>
      </c>
      <c r="C162" s="6">
        <f t="shared" si="5"/>
        <v>28.364028930664063</v>
      </c>
      <c r="D162" s="3" t="str">
        <f>VLOOKUP(A162,'Exported Results'!A$162:D$281,2,FALSE)</f>
        <v>8.1.a</v>
      </c>
      <c r="E162" s="13">
        <f>AVERAGE(C162:C164)</f>
        <v>28.302849451700848</v>
      </c>
      <c r="F162">
        <f>_xlfn.STDEV.P(C162:C164)</f>
        <v>0.10131065708892591</v>
      </c>
    </row>
    <row r="163" spans="1:6" ht="14.25" x14ac:dyDescent="0.2">
      <c r="A163" s="5" t="s">
        <v>215</v>
      </c>
      <c r="B163" s="6">
        <f>VLOOKUP(A163,'Exported Results'!A$162:D$281,4,FALSE)</f>
        <v>28.160060882568359</v>
      </c>
      <c r="C163" s="6">
        <f t="shared" si="5"/>
        <v>28.160060882568359</v>
      </c>
      <c r="D163" s="3" t="str">
        <f>VLOOKUP(A163,'Exported Results'!A$162:D$281,2,FALSE)</f>
        <v>8.1.b</v>
      </c>
    </row>
    <row r="164" spans="1:6" ht="14.25" x14ac:dyDescent="0.2">
      <c r="A164" s="5" t="s">
        <v>216</v>
      </c>
      <c r="B164" s="6">
        <f>VLOOKUP(A164,'Exported Results'!A$162:D$281,4,FALSE)</f>
        <v>28.384458541870117</v>
      </c>
      <c r="C164" s="6">
        <f t="shared" si="5"/>
        <v>28.384458541870117</v>
      </c>
      <c r="D164" s="3" t="str">
        <f>VLOOKUP(A164,'Exported Results'!A$162:D$281,2,FALSE)</f>
        <v>8.1.c</v>
      </c>
    </row>
    <row r="165" spans="1:6" ht="14.25" x14ac:dyDescent="0.2">
      <c r="A165" s="5" t="s">
        <v>217</v>
      </c>
      <c r="B165" s="6">
        <f>VLOOKUP(A165,'Exported Results'!A$162:D$281,4,FALSE)</f>
        <v>28.554712295532227</v>
      </c>
      <c r="C165" s="6">
        <f t="shared" si="5"/>
        <v>28.554712295532227</v>
      </c>
      <c r="D165" s="3" t="str">
        <f>VLOOKUP(A165,'Exported Results'!A$162:D$281,2,FALSE)</f>
        <v>8.2.a</v>
      </c>
      <c r="E165" s="13">
        <f>AVERAGE(C165:C167)</f>
        <v>28.474786122639973</v>
      </c>
      <c r="F165">
        <f>_xlfn.STDEV.P(C165:C167)</f>
        <v>0.10530054194715996</v>
      </c>
    </row>
    <row r="166" spans="1:6" ht="14.25" x14ac:dyDescent="0.2">
      <c r="A166" s="5" t="s">
        <v>218</v>
      </c>
      <c r="B166" s="6">
        <f>VLOOKUP(A166,'Exported Results'!A$162:D$281,4,FALSE)</f>
        <v>28.326005935668945</v>
      </c>
      <c r="C166" s="6">
        <f t="shared" si="5"/>
        <v>28.326005935668945</v>
      </c>
      <c r="D166" s="3" t="str">
        <f>VLOOKUP(A166,'Exported Results'!A$162:D$281,2,FALSE)</f>
        <v>8.2.b</v>
      </c>
    </row>
    <row r="167" spans="1:6" ht="14.25" x14ac:dyDescent="0.2">
      <c r="A167" s="5" t="s">
        <v>219</v>
      </c>
      <c r="B167" s="6">
        <f>VLOOKUP(A167,'Exported Results'!A$162:D$281,4,FALSE)</f>
        <v>28.54364013671875</v>
      </c>
      <c r="C167" s="6">
        <f t="shared" si="5"/>
        <v>28.54364013671875</v>
      </c>
      <c r="D167" s="3" t="str">
        <f>VLOOKUP(A167,'Exported Results'!A$162:D$281,2,FALSE)</f>
        <v>8.2.c</v>
      </c>
    </row>
    <row r="168" spans="1:6" ht="14.25" x14ac:dyDescent="0.2">
      <c r="A168" s="5" t="s">
        <v>220</v>
      </c>
      <c r="B168" s="6">
        <f>VLOOKUP(A168,'Exported Results'!A$162:D$281,4,FALSE)</f>
        <v>28.173254013061523</v>
      </c>
      <c r="C168" s="6">
        <f t="shared" si="5"/>
        <v>28.173254013061523</v>
      </c>
      <c r="D168" s="3" t="str">
        <f>VLOOKUP(A168,'Exported Results'!A$162:D$281,2,FALSE)</f>
        <v>8.3.a</v>
      </c>
      <c r="E168" s="13">
        <f>AVERAGE(C168:C170)</f>
        <v>28.183966954549152</v>
      </c>
      <c r="F168">
        <f>_xlfn.STDEV.P(C168:C170)</f>
        <v>4.1416953793840923E-2</v>
      </c>
    </row>
    <row r="169" spans="1:6" ht="14.25" x14ac:dyDescent="0.2">
      <c r="A169" s="5" t="s">
        <v>221</v>
      </c>
      <c r="B169" s="6">
        <f>VLOOKUP(A169,'Exported Results'!A$162:D$281,4,FALSE)</f>
        <v>28.239192962646484</v>
      </c>
      <c r="C169" s="6">
        <f t="shared" si="5"/>
        <v>28.239192962646484</v>
      </c>
      <c r="D169" s="3" t="str">
        <f>VLOOKUP(A169,'Exported Results'!A$162:D$281,2,FALSE)</f>
        <v>8.3.b</v>
      </c>
    </row>
    <row r="170" spans="1:6" ht="14.25" x14ac:dyDescent="0.2">
      <c r="A170" s="5" t="s">
        <v>222</v>
      </c>
      <c r="B170" s="6">
        <f>VLOOKUP(A170,'Exported Results'!A$162:D$281,4,FALSE)</f>
        <v>28.139453887939453</v>
      </c>
      <c r="C170" s="6">
        <f t="shared" si="5"/>
        <v>28.139453887939453</v>
      </c>
      <c r="D170" s="3" t="str">
        <f>VLOOKUP(A170,'Exported Results'!A$162:D$281,2,FALSE)</f>
        <v>8.3.c</v>
      </c>
    </row>
    <row r="171" spans="1:6" ht="14.25" x14ac:dyDescent="0.2">
      <c r="A171" s="5" t="s">
        <v>223</v>
      </c>
      <c r="B171" s="6">
        <f>VLOOKUP(A171,'Exported Results'!A$162:D$281,4,FALSE)</f>
        <v>27.798744201660156</v>
      </c>
      <c r="C171" s="6">
        <f t="shared" si="5"/>
        <v>27.798744201660156</v>
      </c>
      <c r="D171" s="3" t="str">
        <f>VLOOKUP(A171,'Exported Results'!A$162:D$281,2,FALSE)</f>
        <v>0.4.a</v>
      </c>
      <c r="E171" s="13">
        <f>AVERAGE(C171:C173)</f>
        <v>27.705382029215496</v>
      </c>
      <c r="F171">
        <f>_xlfn.STDEV.P(C171:C173)</f>
        <v>9.8174938664565406E-2</v>
      </c>
    </row>
    <row r="172" spans="1:6" ht="14.25" x14ac:dyDescent="0.2">
      <c r="A172" s="5" t="s">
        <v>224</v>
      </c>
      <c r="B172" s="6">
        <f>VLOOKUP(A172,'Exported Results'!A$162:D$281,4,FALSE)</f>
        <v>27.747695922851563</v>
      </c>
      <c r="C172" s="6">
        <f t="shared" si="5"/>
        <v>27.747695922851563</v>
      </c>
      <c r="D172" s="3" t="str">
        <f>VLOOKUP(A172,'Exported Results'!A$162:D$281,2,FALSE)</f>
        <v>0.4.b</v>
      </c>
    </row>
    <row r="173" spans="1:6" ht="14.25" x14ac:dyDescent="0.2">
      <c r="A173" s="5" t="s">
        <v>225</v>
      </c>
      <c r="B173" s="6">
        <f>VLOOKUP(A173,'Exported Results'!A$162:D$281,4,FALSE)</f>
        <v>27.569705963134766</v>
      </c>
      <c r="C173" s="6">
        <f t="shared" si="5"/>
        <v>27.569705963134766</v>
      </c>
      <c r="D173" s="3" t="str">
        <f>VLOOKUP(A173,'Exported Results'!A$162:D$281,2,FALSE)</f>
        <v>0.4.c</v>
      </c>
    </row>
    <row r="174" spans="1:6" ht="14.25" x14ac:dyDescent="0.2">
      <c r="A174" s="5" t="s">
        <v>226</v>
      </c>
      <c r="B174" s="6">
        <f>VLOOKUP(A174,'Exported Results'!A$162:D$281,4,FALSE)</f>
        <v>28.212928771972656</v>
      </c>
      <c r="C174" s="6">
        <f t="shared" si="5"/>
        <v>28.212928771972656</v>
      </c>
      <c r="D174" s="3" t="str">
        <f>VLOOKUP(A174,'Exported Results'!A$162:D$281,2,FALSE)</f>
        <v>0.5.a</v>
      </c>
      <c r="E174" s="13">
        <f>AVERAGE(C174:C176)</f>
        <v>28.04302469889323</v>
      </c>
      <c r="F174">
        <f>_xlfn.STDEV.P(C174:C176)</f>
        <v>0.12303792067615012</v>
      </c>
    </row>
    <row r="175" spans="1:6" ht="14.25" x14ac:dyDescent="0.2">
      <c r="A175" s="5" t="s">
        <v>227</v>
      </c>
      <c r="B175" s="6">
        <f>VLOOKUP(A175,'Exported Results'!A$162:D$281,4,FALSE)</f>
        <v>27.925561904907227</v>
      </c>
      <c r="C175" s="6">
        <f t="shared" si="5"/>
        <v>27.925561904907227</v>
      </c>
      <c r="D175" s="3" t="str">
        <f>VLOOKUP(A175,'Exported Results'!A$162:D$281,2,FALSE)</f>
        <v>0.5.b</v>
      </c>
    </row>
    <row r="176" spans="1:6" ht="14.25" x14ac:dyDescent="0.2">
      <c r="A176" s="5" t="s">
        <v>228</v>
      </c>
      <c r="B176" s="6">
        <f>VLOOKUP(A176,'Exported Results'!A$162:D$281,4,FALSE)</f>
        <v>27.990583419799805</v>
      </c>
      <c r="C176" s="6">
        <f t="shared" si="5"/>
        <v>27.990583419799805</v>
      </c>
      <c r="D176" s="3" t="str">
        <f>VLOOKUP(A176,'Exported Results'!A$162:D$281,2,FALSE)</f>
        <v>0.5.c</v>
      </c>
    </row>
    <row r="177" spans="1:6" ht="14.25" x14ac:dyDescent="0.2">
      <c r="A177" s="5" t="s">
        <v>229</v>
      </c>
      <c r="B177" s="6">
        <f>VLOOKUP(A177,'Exported Results'!A$162:D$281,4,FALSE)</f>
        <v>28.761957168579102</v>
      </c>
      <c r="C177" s="6">
        <f t="shared" si="5"/>
        <v>28.761957168579102</v>
      </c>
      <c r="D177" s="3" t="str">
        <f>VLOOKUP(A177,'Exported Results'!A$162:D$281,2,FALSE)</f>
        <v>0.6.a</v>
      </c>
      <c r="E177" s="13">
        <f>AVERAGE(C177:C179)</f>
        <v>28.537215550740559</v>
      </c>
      <c r="F177">
        <f>_xlfn.STDEV.P(C177:C179)</f>
        <v>0.16775518771315373</v>
      </c>
    </row>
    <row r="178" spans="1:6" ht="14.25" x14ac:dyDescent="0.2">
      <c r="A178" s="5" t="s">
        <v>230</v>
      </c>
      <c r="B178" s="6">
        <f>VLOOKUP(A178,'Exported Results'!A$162:D$281,4,FALSE)</f>
        <v>28.359033584594727</v>
      </c>
      <c r="C178" s="6">
        <f t="shared" si="5"/>
        <v>28.359033584594727</v>
      </c>
      <c r="D178" s="3" t="str">
        <f>VLOOKUP(A178,'Exported Results'!A$162:D$281,2,FALSE)</f>
        <v>0.6.b</v>
      </c>
    </row>
    <row r="179" spans="1:6" ht="14.25" x14ac:dyDescent="0.2">
      <c r="A179" s="5" t="s">
        <v>231</v>
      </c>
      <c r="B179" s="6">
        <f>VLOOKUP(A179,'Exported Results'!A$162:D$281,4,FALSE)</f>
        <v>28.490655899047852</v>
      </c>
      <c r="C179" s="6">
        <f t="shared" si="5"/>
        <v>28.490655899047852</v>
      </c>
      <c r="D179" s="3" t="str">
        <f>VLOOKUP(A179,'Exported Results'!A$162:D$281,2,FALSE)</f>
        <v>0.6.c</v>
      </c>
    </row>
    <row r="180" spans="1:6" ht="14.25" x14ac:dyDescent="0.2">
      <c r="A180" s="5" t="s">
        <v>232</v>
      </c>
      <c r="B180" s="6">
        <f>VLOOKUP(A180,'Exported Results'!A$162:D$281,4,FALSE)</f>
        <v>29.672574996948242</v>
      </c>
      <c r="C180" s="16"/>
      <c r="D180" s="3" t="str">
        <f>VLOOKUP(A180,'Exported Results'!A$162:D$281,2,FALSE)</f>
        <v>0.7.a</v>
      </c>
      <c r="E180" s="13" t="e">
        <f>AVERAGE(C180:C182)</f>
        <v>#DIV/0!</v>
      </c>
      <c r="F180" t="e">
        <f>_xlfn.STDEV.P(C180:C182)</f>
        <v>#DIV/0!</v>
      </c>
    </row>
    <row r="181" spans="1:6" ht="14.25" x14ac:dyDescent="0.2">
      <c r="A181" s="5" t="s">
        <v>233</v>
      </c>
      <c r="B181" s="6">
        <f>VLOOKUP(A181,'Exported Results'!A$162:D$281,4,FALSE)</f>
        <v>29.263565063476563</v>
      </c>
      <c r="C181" s="16"/>
      <c r="D181" s="3" t="str">
        <f>VLOOKUP(A181,'Exported Results'!A$162:D$281,2,FALSE)</f>
        <v>0.7.b</v>
      </c>
    </row>
    <row r="182" spans="1:6" ht="14.25" x14ac:dyDescent="0.2">
      <c r="A182" s="5" t="s">
        <v>234</v>
      </c>
      <c r="B182" s="6">
        <f>VLOOKUP(A182,'Exported Results'!A$162:D$281,4,FALSE)</f>
        <v>29.281600952148438</v>
      </c>
      <c r="C182" s="16"/>
      <c r="D182" s="3" t="str">
        <f>VLOOKUP(A182,'Exported Results'!A$162:D$281,2,FALSE)</f>
        <v>0.7.c</v>
      </c>
    </row>
    <row r="183" spans="1:6" ht="14.25" x14ac:dyDescent="0.2">
      <c r="A183" s="5" t="s">
        <v>235</v>
      </c>
      <c r="B183" s="6">
        <f>VLOOKUP(A183,'Exported Results'!A$162:D$281,4,FALSE)</f>
        <v>28.270542144775391</v>
      </c>
      <c r="C183" s="16"/>
      <c r="D183" s="3" t="str">
        <f>VLOOKUP(A183,'Exported Results'!A$162:D$281,2,FALSE)</f>
        <v>0.8.a</v>
      </c>
      <c r="E183" s="13">
        <f>AVERAGE(C183:C185)</f>
        <v>27.370658874511719</v>
      </c>
      <c r="F183">
        <f>_xlfn.STDEV.P(C183:C185)</f>
        <v>2.936553955078125E-2</v>
      </c>
    </row>
    <row r="184" spans="1:6" ht="14.25" x14ac:dyDescent="0.2">
      <c r="A184" s="5" t="s">
        <v>236</v>
      </c>
      <c r="B184" s="6">
        <f>VLOOKUP(A184,'Exported Results'!A$162:D$281,4,FALSE)</f>
        <v>27.341293334960938</v>
      </c>
      <c r="C184" s="6">
        <f t="shared" si="5"/>
        <v>27.341293334960938</v>
      </c>
      <c r="D184" s="3" t="str">
        <f>VLOOKUP(A184,'Exported Results'!A$162:D$281,2,FALSE)</f>
        <v>0.8.b</v>
      </c>
    </row>
    <row r="185" spans="1:6" ht="14.25" x14ac:dyDescent="0.2">
      <c r="A185" s="5" t="s">
        <v>237</v>
      </c>
      <c r="B185" s="6">
        <f>VLOOKUP(A185,'Exported Results'!A$162:D$281,4,FALSE)</f>
        <v>27.4000244140625</v>
      </c>
      <c r="C185" s="6">
        <f t="shared" si="5"/>
        <v>27.4000244140625</v>
      </c>
      <c r="D185" s="3" t="str">
        <f>VLOOKUP(A185,'Exported Results'!A$162:D$281,2,FALSE)</f>
        <v>0.8.c</v>
      </c>
    </row>
    <row r="186" spans="1:6" ht="14.25" x14ac:dyDescent="0.2">
      <c r="A186" s="5" t="s">
        <v>238</v>
      </c>
      <c r="B186" s="6">
        <f>VLOOKUP(A186,'Exported Results'!A$162:D$281,4,FALSE)</f>
        <v>28.047760009765625</v>
      </c>
      <c r="C186" s="16"/>
      <c r="D186" s="3" t="str">
        <f>VLOOKUP(A186,'Exported Results'!A$162:D$281,2,FALSE)</f>
        <v>0.9.a</v>
      </c>
      <c r="E186" s="13">
        <f>AVERAGE(C186:C188)</f>
        <v>27.444311141967773</v>
      </c>
      <c r="F186">
        <f>_xlfn.STDEV.P(C186:C188)</f>
        <v>7.5687408447265625E-2</v>
      </c>
    </row>
    <row r="187" spans="1:6" ht="14.25" x14ac:dyDescent="0.2">
      <c r="A187" s="5" t="s">
        <v>239</v>
      </c>
      <c r="B187" s="6">
        <f>VLOOKUP(A187,'Exported Results'!A$162:D$281,4,FALSE)</f>
        <v>27.368623733520508</v>
      </c>
      <c r="C187" s="6">
        <f t="shared" si="5"/>
        <v>27.368623733520508</v>
      </c>
      <c r="D187" s="3" t="str">
        <f>VLOOKUP(A187,'Exported Results'!A$162:D$281,2,FALSE)</f>
        <v>0.9.b</v>
      </c>
    </row>
    <row r="188" spans="1:6" ht="14.25" x14ac:dyDescent="0.2">
      <c r="A188" s="5" t="s">
        <v>240</v>
      </c>
      <c r="B188" s="6">
        <f>VLOOKUP(A188,'Exported Results'!A$162:D$281,4,FALSE)</f>
        <v>27.519998550415039</v>
      </c>
      <c r="C188" s="6">
        <f t="shared" si="5"/>
        <v>27.519998550415039</v>
      </c>
      <c r="D188" s="3" t="str">
        <f>VLOOKUP(A188,'Exported Results'!A$162:D$281,2,FALSE)</f>
        <v>0.9.c</v>
      </c>
    </row>
    <row r="189" spans="1:6" ht="14.25" x14ac:dyDescent="0.2">
      <c r="A189" s="5" t="s">
        <v>241</v>
      </c>
      <c r="B189" s="6">
        <f>VLOOKUP(A189,'Exported Results'!A$162:D$281,4,FALSE)</f>
        <v>28.85746955871582</v>
      </c>
      <c r="C189" s="6">
        <f t="shared" si="5"/>
        <v>28.85746955871582</v>
      </c>
      <c r="D189" s="3" t="str">
        <f>VLOOKUP(A189,'Exported Results'!A$162:D$281,2,FALSE)</f>
        <v>2.4.a</v>
      </c>
      <c r="E189" s="13">
        <f>AVERAGE(C189:C191)</f>
        <v>28.733622233072918</v>
      </c>
      <c r="F189">
        <f>_xlfn.STDEV.P(C189:C191)</f>
        <v>8.7619518427242818E-2</v>
      </c>
    </row>
    <row r="190" spans="1:6" ht="14.25" x14ac:dyDescent="0.2">
      <c r="A190" s="5" t="s">
        <v>242</v>
      </c>
      <c r="B190" s="6">
        <f>VLOOKUP(A190,'Exported Results'!A$162:D$281,4,FALSE)</f>
        <v>28.668212890625</v>
      </c>
      <c r="C190" s="6">
        <f t="shared" si="5"/>
        <v>28.668212890625</v>
      </c>
      <c r="D190" s="3" t="str">
        <f>VLOOKUP(A190,'Exported Results'!A$162:D$281,2,FALSE)</f>
        <v>2.4.b</v>
      </c>
    </row>
    <row r="191" spans="1:6" ht="14.25" x14ac:dyDescent="0.2">
      <c r="A191" s="5" t="s">
        <v>243</v>
      </c>
      <c r="B191" s="6">
        <f>VLOOKUP(A191,'Exported Results'!A$162:D$281,4,FALSE)</f>
        <v>28.67518424987793</v>
      </c>
      <c r="C191" s="6">
        <f t="shared" ref="C191:C212" si="6">IF(B191="Undetermined",40.1,B191)</f>
        <v>28.67518424987793</v>
      </c>
      <c r="D191" s="3" t="str">
        <f>VLOOKUP(A191,'Exported Results'!A$162:D$281,2,FALSE)</f>
        <v>2.4.c</v>
      </c>
    </row>
    <row r="192" spans="1:6" ht="14.25" x14ac:dyDescent="0.2">
      <c r="A192" s="5" t="s">
        <v>244</v>
      </c>
      <c r="B192" s="6">
        <f>VLOOKUP(A192,'Exported Results'!A$162:D$281,4,FALSE)</f>
        <v>29.472299575805664</v>
      </c>
      <c r="C192" s="6">
        <f t="shared" si="6"/>
        <v>29.472299575805664</v>
      </c>
      <c r="D192" s="3" t="str">
        <f>VLOOKUP(A192,'Exported Results'!A$162:D$281,2,FALSE)</f>
        <v>2.5.a</v>
      </c>
      <c r="E192" s="13">
        <f>AVERAGE(C192:C194)</f>
        <v>29.189847310384113</v>
      </c>
      <c r="F192">
        <f>_xlfn.STDEV.P(C192:C194)</f>
        <v>0.20542503130860781</v>
      </c>
    </row>
    <row r="193" spans="1:6" ht="14.25" x14ac:dyDescent="0.2">
      <c r="A193" s="5" t="s">
        <v>245</v>
      </c>
      <c r="B193" s="6">
        <f>VLOOKUP(A193,'Exported Results'!A$162:D$281,4,FALSE)</f>
        <v>28.98975944519043</v>
      </c>
      <c r="C193" s="6">
        <f t="shared" si="6"/>
        <v>28.98975944519043</v>
      </c>
      <c r="D193" s="3" t="str">
        <f>VLOOKUP(A193,'Exported Results'!A$162:D$281,2,FALSE)</f>
        <v>2.5.b</v>
      </c>
    </row>
    <row r="194" spans="1:6" ht="14.25" x14ac:dyDescent="0.2">
      <c r="A194" s="5" t="s">
        <v>246</v>
      </c>
      <c r="B194" s="6">
        <f>VLOOKUP(A194,'Exported Results'!A$162:D$281,4,FALSE)</f>
        <v>29.10748291015625</v>
      </c>
      <c r="C194" s="6">
        <f t="shared" si="6"/>
        <v>29.10748291015625</v>
      </c>
      <c r="D194" s="3" t="str">
        <f>VLOOKUP(A194,'Exported Results'!A$162:D$281,2,FALSE)</f>
        <v>2.5.c</v>
      </c>
    </row>
    <row r="195" spans="1:6" ht="14.25" x14ac:dyDescent="0.2">
      <c r="A195" s="5" t="s">
        <v>247</v>
      </c>
      <c r="B195" s="6">
        <f>VLOOKUP(A195,'Exported Results'!A$162:D$281,4,FALSE)</f>
        <v>28.38047981262207</v>
      </c>
      <c r="C195" s="6">
        <f t="shared" si="6"/>
        <v>28.38047981262207</v>
      </c>
      <c r="D195" s="3" t="str">
        <f>VLOOKUP(A195,'Exported Results'!A$162:D$281,2,FALSE)</f>
        <v>2.6.a</v>
      </c>
      <c r="E195" s="13">
        <f>AVERAGE(C195:C197)</f>
        <v>28.22019322713216</v>
      </c>
      <c r="F195">
        <f>_xlfn.STDEV.P(C195:C197)</f>
        <v>0.12214797023697796</v>
      </c>
    </row>
    <row r="196" spans="1:6" ht="14.25" x14ac:dyDescent="0.2">
      <c r="A196" s="5" t="s">
        <v>248</v>
      </c>
      <c r="B196" s="6">
        <f>VLOOKUP(A196,'Exported Results'!A$162:D$281,4,FALSE)</f>
        <v>28.195829391479492</v>
      </c>
      <c r="C196" s="6">
        <f t="shared" si="6"/>
        <v>28.195829391479492</v>
      </c>
      <c r="D196" s="3" t="str">
        <f>VLOOKUP(A196,'Exported Results'!A$162:D$281,2,FALSE)</f>
        <v>2.6.b</v>
      </c>
    </row>
    <row r="197" spans="1:6" ht="14.25" x14ac:dyDescent="0.2">
      <c r="A197" s="5" t="s">
        <v>249</v>
      </c>
      <c r="B197" s="6">
        <f>VLOOKUP(A197,'Exported Results'!A$162:D$281,4,FALSE)</f>
        <v>28.084270477294922</v>
      </c>
      <c r="C197" s="6">
        <f t="shared" si="6"/>
        <v>28.084270477294922</v>
      </c>
      <c r="D197" s="3" t="str">
        <f>VLOOKUP(A197,'Exported Results'!A$162:D$281,2,FALSE)</f>
        <v>2.6.c</v>
      </c>
    </row>
    <row r="198" spans="1:6" ht="14.25" x14ac:dyDescent="0.2">
      <c r="A198" s="5" t="s">
        <v>250</v>
      </c>
      <c r="B198" s="6">
        <f>VLOOKUP(A198,'Exported Results'!A$162:D$281,4,FALSE)</f>
        <v>27.137165069580078</v>
      </c>
      <c r="C198" s="6">
        <f t="shared" si="6"/>
        <v>27.137165069580078</v>
      </c>
      <c r="D198" s="3" t="str">
        <f>VLOOKUP(A198,'Exported Results'!A$162:D$281,2,FALSE)</f>
        <v>2.7.a</v>
      </c>
      <c r="E198" s="13">
        <f>AVERAGE(C198:C200)</f>
        <v>27.153296152750652</v>
      </c>
      <c r="F198">
        <f>_xlfn.STDEV.P(C198:C200)</f>
        <v>2.2924829727643741E-2</v>
      </c>
    </row>
    <row r="199" spans="1:6" ht="14.25" x14ac:dyDescent="0.2">
      <c r="A199" s="5" t="s">
        <v>251</v>
      </c>
      <c r="B199" s="6">
        <f>VLOOKUP(A199,'Exported Results'!A$162:D$281,4,FALSE)</f>
        <v>27.137006759643555</v>
      </c>
      <c r="C199" s="6">
        <f t="shared" si="6"/>
        <v>27.137006759643555</v>
      </c>
      <c r="D199" s="3" t="str">
        <f>VLOOKUP(A199,'Exported Results'!A$162:D$281,2,FALSE)</f>
        <v>2.7.b</v>
      </c>
    </row>
    <row r="200" spans="1:6" ht="14.25" x14ac:dyDescent="0.2">
      <c r="A200" s="5" t="s">
        <v>252</v>
      </c>
      <c r="B200" s="6">
        <f>VLOOKUP(A200,'Exported Results'!A$162:D$281,4,FALSE)</f>
        <v>27.18571662902832</v>
      </c>
      <c r="C200" s="6">
        <f t="shared" si="6"/>
        <v>27.18571662902832</v>
      </c>
      <c r="D200" s="3" t="str">
        <f>VLOOKUP(A200,'Exported Results'!A$162:D$281,2,FALSE)</f>
        <v>2.7.c</v>
      </c>
    </row>
    <row r="201" spans="1:6" ht="14.25" x14ac:dyDescent="0.2">
      <c r="A201" s="5" t="s">
        <v>253</v>
      </c>
      <c r="B201" s="6" t="str">
        <f>VLOOKUP(A201,'Exported Results'!A$162:D$281,4,FALSE)</f>
        <v>Undetermined</v>
      </c>
      <c r="C201" s="16"/>
      <c r="D201" s="3" t="str">
        <f>VLOOKUP(A201,'Exported Results'!A$162:D$281,2,FALSE)</f>
        <v>2.8.a</v>
      </c>
      <c r="E201" s="13" t="e">
        <f>AVERAGE(C201:C203)</f>
        <v>#DIV/0!</v>
      </c>
      <c r="F201" t="e">
        <f>_xlfn.STDEV.P(C201:C203)</f>
        <v>#DIV/0!</v>
      </c>
    </row>
    <row r="202" spans="1:6" ht="14.25" x14ac:dyDescent="0.2">
      <c r="A202" s="5" t="s">
        <v>254</v>
      </c>
      <c r="B202" s="6" t="str">
        <f>VLOOKUP(A202,'Exported Results'!A$162:D$281,4,FALSE)</f>
        <v>Undetermined</v>
      </c>
      <c r="C202" s="16"/>
      <c r="D202" s="3" t="str">
        <f>VLOOKUP(A202,'Exported Results'!A$162:D$281,2,FALSE)</f>
        <v>2.8.b</v>
      </c>
    </row>
    <row r="203" spans="1:6" ht="14.25" x14ac:dyDescent="0.2">
      <c r="A203" s="5" t="s">
        <v>255</v>
      </c>
      <c r="B203" s="6">
        <f>VLOOKUP(A203,'Exported Results'!A$162:D$281,4,FALSE)</f>
        <v>37.804283142089844</v>
      </c>
      <c r="C203" s="16"/>
      <c r="D203" s="3" t="str">
        <f>VLOOKUP(A203,'Exported Results'!A$162:D$281,2,FALSE)</f>
        <v>2.8.c</v>
      </c>
    </row>
    <row r="204" spans="1:6" ht="14.25" x14ac:dyDescent="0.2">
      <c r="A204" s="5" t="s">
        <v>256</v>
      </c>
      <c r="B204" s="6">
        <f>VLOOKUP(A204,'Exported Results'!A$162:D$281,4,FALSE)</f>
        <v>28.364259719848633</v>
      </c>
      <c r="C204" s="6">
        <f t="shared" si="6"/>
        <v>28.364259719848633</v>
      </c>
      <c r="D204" s="3" t="str">
        <f>VLOOKUP(A204,'Exported Results'!A$162:D$281,2,FALSE)</f>
        <v>2.9.a</v>
      </c>
      <c r="E204" s="13">
        <f>AVERAGE(C204:C206)</f>
        <v>28.163593292236328</v>
      </c>
      <c r="F204">
        <f>_xlfn.STDEV.P(C204:C206)</f>
        <v>0.15801925958746846</v>
      </c>
    </row>
    <row r="205" spans="1:6" ht="14.25" x14ac:dyDescent="0.2">
      <c r="A205" s="5" t="s">
        <v>257</v>
      </c>
      <c r="B205" s="6">
        <f>VLOOKUP(A205,'Exported Results'!A$162:D$281,4,FALSE)</f>
        <v>28.148435592651367</v>
      </c>
      <c r="C205" s="6">
        <f t="shared" si="6"/>
        <v>28.148435592651367</v>
      </c>
      <c r="D205" s="3" t="str">
        <f>VLOOKUP(A205,'Exported Results'!A$162:D$281,2,FALSE)</f>
        <v>2.9.b</v>
      </c>
    </row>
    <row r="206" spans="1:6" ht="14.25" x14ac:dyDescent="0.2">
      <c r="A206" s="5" t="s">
        <v>258</v>
      </c>
      <c r="B206" s="6">
        <f>VLOOKUP(A206,'Exported Results'!A$162:D$281,4,FALSE)</f>
        <v>27.978084564208984</v>
      </c>
      <c r="C206" s="6">
        <f t="shared" si="6"/>
        <v>27.978084564208984</v>
      </c>
      <c r="D206" s="3" t="str">
        <f>VLOOKUP(A206,'Exported Results'!A$162:D$281,2,FALSE)</f>
        <v>2.9.c</v>
      </c>
    </row>
    <row r="207" spans="1:6" ht="14.25" x14ac:dyDescent="0.2">
      <c r="A207" s="5" t="s">
        <v>259</v>
      </c>
      <c r="B207" s="6">
        <f>VLOOKUP(A207,'Exported Results'!A$162:D$281,4,FALSE)</f>
        <v>33.629238128662109</v>
      </c>
      <c r="C207" s="16"/>
      <c r="D207" s="3" t="str">
        <f>VLOOKUP(A207,'Exported Results'!A$162:D$281,2,FALSE)</f>
        <v>8.4.a</v>
      </c>
      <c r="E207" s="13" t="e">
        <f>AVERAGE(C207:C209)</f>
        <v>#DIV/0!</v>
      </c>
      <c r="F207" t="e">
        <f>_xlfn.STDEV.P(C207:C209)</f>
        <v>#DIV/0!</v>
      </c>
    </row>
    <row r="208" spans="1:6" ht="14.25" x14ac:dyDescent="0.2">
      <c r="A208" s="5" t="s">
        <v>260</v>
      </c>
      <c r="B208" s="6">
        <f>VLOOKUP(A208,'Exported Results'!A$162:D$281,4,FALSE)</f>
        <v>33.397670745849609</v>
      </c>
      <c r="C208" s="16"/>
      <c r="D208" s="3" t="str">
        <f>VLOOKUP(A208,'Exported Results'!A$162:D$281,2,FALSE)</f>
        <v>8.4.b</v>
      </c>
    </row>
    <row r="209" spans="1:6" ht="14.25" x14ac:dyDescent="0.2">
      <c r="A209" s="5" t="s">
        <v>261</v>
      </c>
      <c r="B209" s="6">
        <f>VLOOKUP(A209,'Exported Results'!A$162:D$281,4,FALSE)</f>
        <v>33.500087738037109</v>
      </c>
      <c r="C209" s="16"/>
      <c r="D209" s="3" t="str">
        <f>VLOOKUP(A209,'Exported Results'!A$162:D$281,2,FALSE)</f>
        <v>8.4.c</v>
      </c>
    </row>
    <row r="210" spans="1:6" ht="14.25" x14ac:dyDescent="0.2">
      <c r="A210" s="5" t="s">
        <v>262</v>
      </c>
      <c r="B210" s="6">
        <f>VLOOKUP(A210,'Exported Results'!A$162:D$281,4,FALSE)</f>
        <v>28.157051086425781</v>
      </c>
      <c r="C210" s="6">
        <f t="shared" si="6"/>
        <v>28.157051086425781</v>
      </c>
      <c r="D210" s="3" t="str">
        <f>VLOOKUP(A210,'Exported Results'!A$162:D$281,2,FALSE)</f>
        <v>8.5.a</v>
      </c>
      <c r="E210" s="13">
        <f>AVERAGE(C210:C212)</f>
        <v>28.074600219726563</v>
      </c>
      <c r="F210">
        <f>_xlfn.STDEV.P(C210:C212)</f>
        <v>7.0387797124973853E-2</v>
      </c>
    </row>
    <row r="211" spans="1:6" ht="14.25" x14ac:dyDescent="0.2">
      <c r="A211" s="5" t="s">
        <v>263</v>
      </c>
      <c r="B211" s="6">
        <f>VLOOKUP(A211,'Exported Results'!A$162:D$281,4,FALSE)</f>
        <v>28.081676483154297</v>
      </c>
      <c r="C211" s="6">
        <f t="shared" si="6"/>
        <v>28.081676483154297</v>
      </c>
      <c r="D211" s="3" t="str">
        <f>VLOOKUP(A211,'Exported Results'!A$162:D$281,2,FALSE)</f>
        <v>8.5.b</v>
      </c>
    </row>
    <row r="212" spans="1:6" ht="14.25" x14ac:dyDescent="0.2">
      <c r="A212" s="5" t="s">
        <v>264</v>
      </c>
      <c r="B212" s="6">
        <f>VLOOKUP(A212,'Exported Results'!A$162:D$281,4,FALSE)</f>
        <v>27.985073089599609</v>
      </c>
      <c r="C212" s="6">
        <f t="shared" si="6"/>
        <v>27.985073089599609</v>
      </c>
      <c r="D212" s="3" t="str">
        <f>VLOOKUP(A212,'Exported Results'!A$162:D$281,2,FALSE)</f>
        <v>8.5.c</v>
      </c>
    </row>
    <row r="213" spans="1:6" ht="14.25" x14ac:dyDescent="0.2">
      <c r="A213" s="5" t="s">
        <v>265</v>
      </c>
      <c r="B213" s="6">
        <f>VLOOKUP(A213,'Exported Results'!A$162:D$281,4,FALSE)</f>
        <v>28.161872863769531</v>
      </c>
      <c r="C213" s="6">
        <f t="shared" ref="C213:C254" si="7">IF(B213="Undetermined",40.1,B213)</f>
        <v>28.161872863769531</v>
      </c>
      <c r="D213" s="3" t="str">
        <f>VLOOKUP(A213,'Exported Results'!A$162:D$281,2,FALSE)</f>
        <v>8.6.a</v>
      </c>
      <c r="E213" s="13">
        <f>AVERAGE(C213:C215)</f>
        <v>27.995891571044922</v>
      </c>
      <c r="F213">
        <f>_xlfn.STDEV.P(C213:C215)</f>
        <v>0.11736721774973422</v>
      </c>
    </row>
    <row r="214" spans="1:6" ht="14.25" x14ac:dyDescent="0.2">
      <c r="A214" s="5" t="s">
        <v>266</v>
      </c>
      <c r="B214" s="6">
        <f>VLOOKUP(A214,'Exported Results'!A$162:D$281,4,FALSE)</f>
        <v>27.91340446472168</v>
      </c>
      <c r="C214" s="6">
        <f t="shared" si="7"/>
        <v>27.91340446472168</v>
      </c>
      <c r="D214" s="3" t="str">
        <f>VLOOKUP(A214,'Exported Results'!A$162:D$281,2,FALSE)</f>
        <v>8.6.b</v>
      </c>
    </row>
    <row r="215" spans="1:6" ht="14.25" x14ac:dyDescent="0.2">
      <c r="A215" s="5" t="s">
        <v>267</v>
      </c>
      <c r="B215" s="6">
        <f>VLOOKUP(A215,'Exported Results'!A$162:D$281,4,FALSE)</f>
        <v>27.912397384643555</v>
      </c>
      <c r="C215" s="6">
        <f t="shared" si="7"/>
        <v>27.912397384643555</v>
      </c>
      <c r="D215" s="3" t="str">
        <f>VLOOKUP(A215,'Exported Results'!A$162:D$281,2,FALSE)</f>
        <v>8.6.c</v>
      </c>
    </row>
    <row r="216" spans="1:6" ht="14.25" x14ac:dyDescent="0.2">
      <c r="A216" s="5" t="s">
        <v>268</v>
      </c>
      <c r="B216" s="6">
        <f>VLOOKUP(A216,'Exported Results'!A$162:D$281,4,FALSE)</f>
        <v>28.217327117919922</v>
      </c>
      <c r="C216" s="6">
        <f t="shared" si="7"/>
        <v>28.217327117919922</v>
      </c>
      <c r="D216" s="3" t="str">
        <f>VLOOKUP(A216,'Exported Results'!A$162:D$281,2,FALSE)</f>
        <v>8.7.a</v>
      </c>
      <c r="E216" s="13">
        <f>AVERAGE(C216:C218)</f>
        <v>28.025451024373371</v>
      </c>
      <c r="F216">
        <f>_xlfn.STDEV.P(C216:C218)</f>
        <v>0.13780843135716273</v>
      </c>
    </row>
    <row r="217" spans="1:6" ht="14.25" x14ac:dyDescent="0.2">
      <c r="A217" s="5" t="s">
        <v>269</v>
      </c>
      <c r="B217" s="6">
        <f>VLOOKUP(A217,'Exported Results'!A$162:D$281,4,FALSE)</f>
        <v>27.959083557128906</v>
      </c>
      <c r="C217" s="6">
        <f t="shared" si="7"/>
        <v>27.959083557128906</v>
      </c>
      <c r="D217" s="3" t="str">
        <f>VLOOKUP(A217,'Exported Results'!A$162:D$281,2,FALSE)</f>
        <v>8.7.b</v>
      </c>
    </row>
    <row r="218" spans="1:6" ht="14.25" x14ac:dyDescent="0.2">
      <c r="A218" s="5" t="s">
        <v>270</v>
      </c>
      <c r="B218" s="6">
        <f>VLOOKUP(A218,'Exported Results'!A$162:D$281,4,FALSE)</f>
        <v>27.899942398071289</v>
      </c>
      <c r="C218" s="6">
        <f t="shared" si="7"/>
        <v>27.899942398071289</v>
      </c>
      <c r="D218" s="3" t="str">
        <f>VLOOKUP(A218,'Exported Results'!A$162:D$281,2,FALSE)</f>
        <v>8.7.c</v>
      </c>
    </row>
    <row r="219" spans="1:6" ht="14.25" x14ac:dyDescent="0.2">
      <c r="A219" s="5" t="s">
        <v>271</v>
      </c>
      <c r="B219" s="6">
        <f>VLOOKUP(A219,'Exported Results'!A$162:D$281,4,FALSE)</f>
        <v>27.877939224243164</v>
      </c>
      <c r="C219" s="6">
        <f t="shared" si="7"/>
        <v>27.877939224243164</v>
      </c>
      <c r="D219" s="3" t="str">
        <f>VLOOKUP(A219,'Exported Results'!A$162:D$281,2,FALSE)</f>
        <v>8.8.a</v>
      </c>
      <c r="E219" s="13">
        <f>AVERAGE(C219:C221)</f>
        <v>27.706926981608074</v>
      </c>
      <c r="F219">
        <f>_xlfn.STDEV.P(C219:C221)</f>
        <v>0.12523446271017996</v>
      </c>
    </row>
    <row r="220" spans="1:6" ht="14.25" x14ac:dyDescent="0.2">
      <c r="A220" s="5" t="s">
        <v>272</v>
      </c>
      <c r="B220" s="6">
        <f>VLOOKUP(A220,'Exported Results'!A$162:D$281,4,FALSE)</f>
        <v>27.581525802612305</v>
      </c>
      <c r="C220" s="6">
        <f t="shared" si="7"/>
        <v>27.581525802612305</v>
      </c>
      <c r="D220" s="3" t="str">
        <f>VLOOKUP(A220,'Exported Results'!A$162:D$281,2,FALSE)</f>
        <v>8.8.b</v>
      </c>
    </row>
    <row r="221" spans="1:6" ht="14.25" x14ac:dyDescent="0.2">
      <c r="A221" s="5" t="s">
        <v>273</v>
      </c>
      <c r="B221" s="6">
        <f>VLOOKUP(A221,'Exported Results'!A$162:D$281,4,FALSE)</f>
        <v>27.66131591796875</v>
      </c>
      <c r="C221" s="6">
        <f t="shared" si="7"/>
        <v>27.66131591796875</v>
      </c>
      <c r="D221" s="3" t="str">
        <f>VLOOKUP(A221,'Exported Results'!A$162:D$281,2,FALSE)</f>
        <v>8.8.c</v>
      </c>
    </row>
    <row r="222" spans="1:6" ht="14.25" x14ac:dyDescent="0.2">
      <c r="A222" s="5" t="s">
        <v>274</v>
      </c>
      <c r="B222" s="6">
        <f>VLOOKUP(A222,'Exported Results'!A$162:D$281,4,FALSE)</f>
        <v>28.24980354309082</v>
      </c>
      <c r="C222" s="6">
        <f t="shared" si="7"/>
        <v>28.24980354309082</v>
      </c>
      <c r="D222" s="3" t="str">
        <f>VLOOKUP(A222,'Exported Results'!A$162:D$281,2,FALSE)</f>
        <v>8.9.a</v>
      </c>
      <c r="E222" s="13">
        <f>AVERAGE(C222:C224)</f>
        <v>28.124238967895508</v>
      </c>
      <c r="F222">
        <f>_xlfn.STDEV.P(C222:C224)</f>
        <v>0.10919017325726121</v>
      </c>
    </row>
    <row r="223" spans="1:6" ht="14.25" x14ac:dyDescent="0.2">
      <c r="A223" s="5" t="s">
        <v>275</v>
      </c>
      <c r="B223" s="6">
        <f>VLOOKUP(A223,'Exported Results'!A$162:D$281,4,FALSE)</f>
        <v>27.983617782592773</v>
      </c>
      <c r="C223" s="6">
        <f t="shared" si="7"/>
        <v>27.983617782592773</v>
      </c>
      <c r="D223" s="3" t="str">
        <f>VLOOKUP(A223,'Exported Results'!A$162:D$281,2,FALSE)</f>
        <v>8.9.b</v>
      </c>
    </row>
    <row r="224" spans="1:6" ht="14.25" x14ac:dyDescent="0.2">
      <c r="A224" s="5" t="s">
        <v>276</v>
      </c>
      <c r="B224" s="6">
        <f>VLOOKUP(A224,'Exported Results'!A$162:D$281,4,FALSE)</f>
        <v>28.13929557800293</v>
      </c>
      <c r="C224" s="6">
        <f t="shared" si="7"/>
        <v>28.13929557800293</v>
      </c>
      <c r="D224" s="3" t="str">
        <f>VLOOKUP(A224,'Exported Results'!A$162:D$281,2,FALSE)</f>
        <v>8.9.c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7"/>
        <v>40.1</v>
      </c>
      <c r="D225" s="3" t="str">
        <f>VLOOKUP(A225,'Exported Results'!A$162:D$281,2,FALSE)</f>
        <v/>
      </c>
      <c r="E225" s="13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7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7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7"/>
        <v>40.1</v>
      </c>
      <c r="D228" s="3" t="str">
        <f>VLOOKUP(A228,'Exported Results'!A$162:D$281,2,FALSE)</f>
        <v/>
      </c>
      <c r="E228" s="13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7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7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7"/>
        <v>40.1</v>
      </c>
      <c r="D231" s="3" t="str">
        <f>VLOOKUP(A231,'Exported Results'!A$162:D$281,2,FALSE)</f>
        <v/>
      </c>
      <c r="E231" s="13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7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7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7"/>
        <v>40.1</v>
      </c>
      <c r="D234" s="3" t="str">
        <f>VLOOKUP(A234,'Exported Results'!A$162:D$281,2,FALSE)</f>
        <v/>
      </c>
      <c r="E234" s="13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7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7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7"/>
        <v>40.1</v>
      </c>
      <c r="D237" s="3" t="str">
        <f>VLOOKUP(A237,'Exported Results'!A$162:D$281,2,FALSE)</f>
        <v/>
      </c>
      <c r="E237" s="13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7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7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7"/>
        <v>40.1</v>
      </c>
      <c r="D240" s="3" t="str">
        <f>VLOOKUP(A240,'Exported Results'!A$162:D$281,2,FALSE)</f>
        <v/>
      </c>
      <c r="E240" s="13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7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7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7"/>
        <v>40.1</v>
      </c>
      <c r="D243" s="3" t="str">
        <f>VLOOKUP(A243,'Exported Results'!A$282:D$641,2,FALSE)</f>
        <v>Blank 1.a</v>
      </c>
      <c r="E243" s="13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7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7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28.426450729370117</v>
      </c>
      <c r="C246" s="6">
        <f t="shared" si="7"/>
        <v>28.426450729370117</v>
      </c>
      <c r="D246" s="3" t="str">
        <f>VLOOKUP(A246,'Exported Results'!A$282:D$641,2,FALSE)</f>
        <v>STD 10a</v>
      </c>
      <c r="E246" s="13">
        <f>AVERAGE(C246:C248)</f>
        <v>28.361588160196941</v>
      </c>
      <c r="F246">
        <f>_xlfn.STDEV.P(C246:C248)</f>
        <v>7.7795227912369661E-2</v>
      </c>
    </row>
    <row r="247" spans="1:6" ht="14.25" x14ac:dyDescent="0.2">
      <c r="A247" s="5" t="s">
        <v>299</v>
      </c>
      <c r="B247" s="6">
        <f>VLOOKUP(A247,'Exported Results'!A$282:D645,4,FALSE)</f>
        <v>28.406116485595703</v>
      </c>
      <c r="C247" s="6">
        <f t="shared" si="7"/>
        <v>28.406116485595703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28.252197265625</v>
      </c>
      <c r="C248" s="6">
        <f t="shared" si="7"/>
        <v>28.252197265625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28.891843795776367</v>
      </c>
      <c r="C249" s="6">
        <f t="shared" si="7"/>
        <v>28.891843795776367</v>
      </c>
      <c r="D249" s="3" t="str">
        <f>VLOOKUP(A249,'Exported Results'!A$282:D$641,2,FALSE)</f>
        <v>STD 20a</v>
      </c>
      <c r="E249" s="13">
        <f>AVERAGE(C249:C251)</f>
        <v>29.062718073527019</v>
      </c>
      <c r="F249">
        <f>_xlfn.STDEV.P(C249:C251)</f>
        <v>0.12143575049580509</v>
      </c>
    </row>
    <row r="250" spans="1:6" ht="14.25" x14ac:dyDescent="0.2">
      <c r="A250" s="5" t="s">
        <v>302</v>
      </c>
      <c r="B250" s="6">
        <f>VLOOKUP(A250,'Exported Results'!A$282:D648,4,FALSE)</f>
        <v>29.133274078369141</v>
      </c>
      <c r="C250" s="6">
        <f t="shared" si="7"/>
        <v>29.133274078369141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29.163036346435547</v>
      </c>
      <c r="C251" s="6">
        <f t="shared" si="7"/>
        <v>29.163036346435547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30.070241928100586</v>
      </c>
      <c r="C252" s="6">
        <f t="shared" si="7"/>
        <v>30.070241928100586</v>
      </c>
      <c r="D252" s="3" t="str">
        <f>VLOOKUP(A252,'Exported Results'!A$282:D$641,2,FALSE)</f>
        <v>STD 40a</v>
      </c>
      <c r="E252" s="13">
        <f>AVERAGE(C252:C254)</f>
        <v>30.123767217000324</v>
      </c>
      <c r="F252">
        <f>_xlfn.STDEV.P(C252:C254)</f>
        <v>0.11821576456401017</v>
      </c>
    </row>
    <row r="253" spans="1:6" ht="14.25" x14ac:dyDescent="0.2">
      <c r="A253" s="5" t="s">
        <v>305</v>
      </c>
      <c r="B253" s="6">
        <f>VLOOKUP(A253,'Exported Results'!A$282:D651,4,FALSE)</f>
        <v>30.01336669921875</v>
      </c>
      <c r="C253" s="6">
        <f t="shared" si="7"/>
        <v>30.01336669921875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30.287693023681641</v>
      </c>
      <c r="C254" s="6">
        <f t="shared" si="7"/>
        <v>30.287693023681641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31.537111282348633</v>
      </c>
      <c r="C255" s="6">
        <f t="shared" ref="C255" si="8">IF(B255="Undetermined",40.1,B255)</f>
        <v>31.537111282348633</v>
      </c>
      <c r="D255" s="3" t="str">
        <f>VLOOKUP(A255,'Exported Results'!A$282:D$641,2,FALSE)</f>
        <v>STD 80a</v>
      </c>
      <c r="E255" s="13">
        <f>AVERAGE(C255:C257)</f>
        <v>31.634492874145508</v>
      </c>
      <c r="F255">
        <f>_xlfn.STDEV.P(C255:C257)</f>
        <v>9.7381591796875E-2</v>
      </c>
    </row>
    <row r="256" spans="1:6" ht="14.25" x14ac:dyDescent="0.2">
      <c r="A256" s="5" t="s">
        <v>308</v>
      </c>
      <c r="B256" s="6">
        <f>VLOOKUP(A256,'Exported Results'!A$282:D654,4,FALSE)</f>
        <v>31.731874465942383</v>
      </c>
      <c r="C256" s="6">
        <f t="shared" ref="C256:C319" si="9">IF(B256="Undetermined",40.1,B256)</f>
        <v>31.731874465942383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30.533525466918945</v>
      </c>
      <c r="C257" s="16"/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32.538768768310547</v>
      </c>
      <c r="C258" s="6">
        <f t="shared" si="9"/>
        <v>32.538768768310547</v>
      </c>
      <c r="D258" s="3" t="str">
        <f>VLOOKUP(A258,'Exported Results'!A$282:D$641,2,FALSE)</f>
        <v>STD 160a</v>
      </c>
      <c r="E258" s="13">
        <f>AVERAGE(C258:C260)</f>
        <v>32.566486358642578</v>
      </c>
      <c r="F258">
        <f>_xlfn.STDEV.P(C258:C260)</f>
        <v>4.0200759349813597E-2</v>
      </c>
    </row>
    <row r="259" spans="1:6" ht="14.25" x14ac:dyDescent="0.2">
      <c r="A259" s="5" t="s">
        <v>311</v>
      </c>
      <c r="B259" s="6">
        <f>VLOOKUP(A259,'Exported Results'!A$282:D657,4,FALSE)</f>
        <v>32.623332977294922</v>
      </c>
      <c r="C259" s="6">
        <f t="shared" si="9"/>
        <v>32.623332977294922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32.537357330322266</v>
      </c>
      <c r="C260" s="6">
        <f t="shared" si="9"/>
        <v>32.537357330322266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33.461067199707031</v>
      </c>
      <c r="C261" s="6">
        <f t="shared" si="9"/>
        <v>33.461067199707031</v>
      </c>
      <c r="D261" s="3" t="str">
        <f>VLOOKUP(A261,'Exported Results'!A$282:D$641,2,FALSE)</f>
        <v>STD 320a</v>
      </c>
      <c r="E261" s="13">
        <f>AVERAGE(C261:C263)</f>
        <v>33.611462910970054</v>
      </c>
      <c r="F261">
        <f>_xlfn.STDEV.P(C261:C263)</f>
        <v>0.13156685998848572</v>
      </c>
    </row>
    <row r="262" spans="1:6" ht="14.25" x14ac:dyDescent="0.2">
      <c r="A262" s="5" t="s">
        <v>314</v>
      </c>
      <c r="B262" s="6">
        <f>VLOOKUP(A262,'Exported Results'!A$282:D660,4,FALSE)</f>
        <v>33.781532287597656</v>
      </c>
      <c r="C262" s="6">
        <f t="shared" si="9"/>
        <v>33.781532287597656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33.591789245605469</v>
      </c>
      <c r="C263" s="6">
        <f t="shared" si="9"/>
        <v>33.591789245605469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30.185663223266602</v>
      </c>
      <c r="C264" s="6">
        <f t="shared" si="9"/>
        <v>30.185663223266602</v>
      </c>
      <c r="D264" s="3" t="str">
        <f>VLOOKUP(A264,'Exported Results'!A$282:D$641,2,FALSE)</f>
        <v>0.1.a</v>
      </c>
      <c r="E264" s="13">
        <f>AVERAGE(C264:C266)</f>
        <v>30.189127604166668</v>
      </c>
      <c r="F264">
        <f>_xlfn.STDEV.P(C264:C266)</f>
        <v>2.9176291371240563E-2</v>
      </c>
    </row>
    <row r="265" spans="1:6" ht="14.25" x14ac:dyDescent="0.2">
      <c r="A265" s="5" t="s">
        <v>317</v>
      </c>
      <c r="B265" s="6">
        <f>VLOOKUP(A265,'Exported Results'!A$282:D663,4,FALSE)</f>
        <v>30.226467132568359</v>
      </c>
      <c r="C265" s="6">
        <f t="shared" si="9"/>
        <v>30.226467132568359</v>
      </c>
      <c r="D265" s="3" t="str">
        <f>VLOOKUP(A265,'Exported Results'!A$282:D$641,2,FALSE)</f>
        <v>0.1.b</v>
      </c>
    </row>
    <row r="266" spans="1:6" ht="14.25" x14ac:dyDescent="0.2">
      <c r="A266" s="5" t="s">
        <v>318</v>
      </c>
      <c r="B266" s="6">
        <f>VLOOKUP(A266,'Exported Results'!A$282:D664,4,FALSE)</f>
        <v>30.155252456665039</v>
      </c>
      <c r="C266" s="6">
        <f t="shared" si="9"/>
        <v>30.155252456665039</v>
      </c>
      <c r="D266" s="3" t="str">
        <f>VLOOKUP(A266,'Exported Results'!A$282:D$641,2,FALSE)</f>
        <v>0.1.c</v>
      </c>
    </row>
    <row r="267" spans="1:6" ht="14.25" x14ac:dyDescent="0.2">
      <c r="A267" s="5" t="s">
        <v>319</v>
      </c>
      <c r="B267" s="6">
        <f>VLOOKUP(A267,'Exported Results'!A$282:D665,4,FALSE)</f>
        <v>30.808931350708008</v>
      </c>
      <c r="C267" s="6">
        <f t="shared" si="9"/>
        <v>30.808931350708008</v>
      </c>
      <c r="D267" s="3" t="str">
        <f>VLOOKUP(A267,'Exported Results'!A$282:D$641,2,FALSE)</f>
        <v>0.2.a</v>
      </c>
      <c r="E267" s="13">
        <f>AVERAGE(C267:C269)</f>
        <v>30.717288335164387</v>
      </c>
      <c r="F267">
        <f>_xlfn.STDEV.P(C267:C269)</f>
        <v>0.1072646073709863</v>
      </c>
    </row>
    <row r="268" spans="1:6" ht="14.25" x14ac:dyDescent="0.2">
      <c r="A268" s="5" t="s">
        <v>320</v>
      </c>
      <c r="B268" s="6">
        <f>VLOOKUP(A268,'Exported Results'!A$282:D666,4,FALSE)</f>
        <v>30.776155471801758</v>
      </c>
      <c r="C268" s="6">
        <f t="shared" si="9"/>
        <v>30.776155471801758</v>
      </c>
      <c r="D268" s="3" t="str">
        <f>VLOOKUP(A268,'Exported Results'!A$282:D$641,2,FALSE)</f>
        <v>0.2.b</v>
      </c>
    </row>
    <row r="269" spans="1:6" ht="14.25" x14ac:dyDescent="0.2">
      <c r="A269" s="5" t="s">
        <v>321</v>
      </c>
      <c r="B269" s="6">
        <f>VLOOKUP(A269,'Exported Results'!A$282:D667,4,FALSE)</f>
        <v>30.566778182983398</v>
      </c>
      <c r="C269" s="6">
        <f t="shared" si="9"/>
        <v>30.566778182983398</v>
      </c>
      <c r="D269" s="3" t="str">
        <f>VLOOKUP(A269,'Exported Results'!A$282:D$641,2,FALSE)</f>
        <v>0.2.c</v>
      </c>
    </row>
    <row r="270" spans="1:6" ht="14.25" x14ac:dyDescent="0.2">
      <c r="A270" s="5" t="s">
        <v>322</v>
      </c>
      <c r="B270" s="6">
        <f>VLOOKUP(A270,'Exported Results'!A$282:D668,4,FALSE)</f>
        <v>30.423557281494141</v>
      </c>
      <c r="C270" s="6">
        <f t="shared" si="9"/>
        <v>30.423557281494141</v>
      </c>
      <c r="D270" s="3" t="str">
        <f>VLOOKUP(A270,'Exported Results'!A$282:D$641,2,FALSE)</f>
        <v>0.3.a</v>
      </c>
      <c r="E270" s="13">
        <f>AVERAGE(C270:C272)</f>
        <v>30.449099858601887</v>
      </c>
      <c r="F270">
        <f>_xlfn.STDEV.P(C270:C272)</f>
        <v>0.15330654292664064</v>
      </c>
    </row>
    <row r="271" spans="1:6" ht="14.25" x14ac:dyDescent="0.2">
      <c r="A271" s="5" t="s">
        <v>323</v>
      </c>
      <c r="B271" s="6">
        <f>VLOOKUP(A271,'Exported Results'!A$282:D669,4,FALSE)</f>
        <v>30.648324966430664</v>
      </c>
      <c r="C271" s="6">
        <f t="shared" si="9"/>
        <v>30.648324966430664</v>
      </c>
      <c r="D271" s="3" t="str">
        <f>VLOOKUP(A271,'Exported Results'!A$282:D$641,2,FALSE)</f>
        <v>0.3.b</v>
      </c>
    </row>
    <row r="272" spans="1:6" ht="14.25" x14ac:dyDescent="0.2">
      <c r="A272" s="5" t="s">
        <v>324</v>
      </c>
      <c r="B272" s="6">
        <f>VLOOKUP(A272,'Exported Results'!A$282:D670,4,FALSE)</f>
        <v>30.275417327880859</v>
      </c>
      <c r="C272" s="6">
        <f t="shared" si="9"/>
        <v>30.275417327880859</v>
      </c>
      <c r="D272" s="3" t="str">
        <f>VLOOKUP(A272,'Exported Results'!A$282:D$641,2,FALSE)</f>
        <v>0.3.c</v>
      </c>
    </row>
    <row r="273" spans="1:6" ht="14.25" x14ac:dyDescent="0.2">
      <c r="A273" s="5" t="s">
        <v>325</v>
      </c>
      <c r="B273" s="6">
        <f>VLOOKUP(A273,'Exported Results'!A$282:D671,4,FALSE)</f>
        <v>30.706171035766602</v>
      </c>
      <c r="C273" s="6">
        <f t="shared" si="9"/>
        <v>30.706171035766602</v>
      </c>
      <c r="D273" s="3" t="str">
        <f>VLOOKUP(A273,'Exported Results'!A$282:D$641,2,FALSE)</f>
        <v>2.1.a</v>
      </c>
      <c r="E273" s="13">
        <f>AVERAGE(C273:C275)</f>
        <v>30.522472381591797</v>
      </c>
      <c r="F273">
        <f>_xlfn.STDEV.P(C273:C275)</f>
        <v>0.18523757588653786</v>
      </c>
    </row>
    <row r="274" spans="1:6" ht="14.25" x14ac:dyDescent="0.2">
      <c r="A274" s="5" t="s">
        <v>326</v>
      </c>
      <c r="B274" s="6">
        <f>VLOOKUP(A274,'Exported Results'!A$282:D672,4,FALSE)</f>
        <v>30.592365264892578</v>
      </c>
      <c r="C274" s="6">
        <f t="shared" si="9"/>
        <v>30.592365264892578</v>
      </c>
      <c r="D274" s="3" t="str">
        <f>VLOOKUP(A274,'Exported Results'!A$282:D$641,2,FALSE)</f>
        <v>2.1.b</v>
      </c>
    </row>
    <row r="275" spans="1:6" ht="14.25" x14ac:dyDescent="0.2">
      <c r="A275" s="7" t="s">
        <v>327</v>
      </c>
      <c r="B275" s="6">
        <f>VLOOKUP(A275,'Exported Results'!A$282:D673,4,FALSE)</f>
        <v>30.268880844116211</v>
      </c>
      <c r="C275" s="6">
        <f t="shared" si="9"/>
        <v>30.268880844116211</v>
      </c>
      <c r="D275" s="3" t="str">
        <f>VLOOKUP(A275,'Exported Results'!A$282:D$641,2,FALSE)</f>
        <v>2.1.c</v>
      </c>
    </row>
    <row r="276" spans="1:6" ht="14.25" x14ac:dyDescent="0.2">
      <c r="A276" s="7" t="s">
        <v>328</v>
      </c>
      <c r="B276" s="6">
        <f>VLOOKUP(A276,'Exported Results'!A$282:D674,4,FALSE)</f>
        <v>30.4033203125</v>
      </c>
      <c r="C276" s="6">
        <f t="shared" si="9"/>
        <v>30.4033203125</v>
      </c>
      <c r="D276" s="3" t="str">
        <f>VLOOKUP(A276,'Exported Results'!A$282:D$641,2,FALSE)</f>
        <v>2.2.a</v>
      </c>
      <c r="E276" s="13">
        <f>AVERAGE(C276:C278)</f>
        <v>30.335465749104817</v>
      </c>
      <c r="F276">
        <f>_xlfn.STDEV.P(C276:C278)</f>
        <v>0.16570460934132289</v>
      </c>
    </row>
    <row r="277" spans="1:6" ht="14.25" x14ac:dyDescent="0.2">
      <c r="A277" s="7" t="s">
        <v>329</v>
      </c>
      <c r="B277" s="6">
        <f>VLOOKUP(A277,'Exported Results'!A$282:D675,4,FALSE)</f>
        <v>30.10728645324707</v>
      </c>
      <c r="C277" s="6">
        <f t="shared" si="9"/>
        <v>30.10728645324707</v>
      </c>
      <c r="D277" s="3" t="str">
        <f>VLOOKUP(A277,'Exported Results'!A$282:D$641,2,FALSE)</f>
        <v>2.2.b</v>
      </c>
    </row>
    <row r="278" spans="1:6" ht="14.25" x14ac:dyDescent="0.2">
      <c r="A278" s="7" t="s">
        <v>330</v>
      </c>
      <c r="B278" s="6">
        <f>VLOOKUP(A278,'Exported Results'!A$282:D676,4,FALSE)</f>
        <v>30.495790481567383</v>
      </c>
      <c r="C278" s="6">
        <f t="shared" si="9"/>
        <v>30.495790481567383</v>
      </c>
      <c r="D278" s="3" t="str">
        <f>VLOOKUP(A278,'Exported Results'!A$282:D$641,2,FALSE)</f>
        <v>2.2.c</v>
      </c>
    </row>
    <row r="279" spans="1:6" ht="14.25" x14ac:dyDescent="0.2">
      <c r="A279" s="7" t="s">
        <v>331</v>
      </c>
      <c r="B279" s="6">
        <f>VLOOKUP(A279,'Exported Results'!A$282:D677,4,FALSE)</f>
        <v>29.979360580444336</v>
      </c>
      <c r="C279" s="6">
        <f t="shared" si="9"/>
        <v>29.979360580444336</v>
      </c>
      <c r="D279" s="3" t="str">
        <f>VLOOKUP(A279,'Exported Results'!A$282:D$641,2,FALSE)</f>
        <v>2.3.a</v>
      </c>
      <c r="E279" s="13">
        <f>AVERAGE(C279:C281)</f>
        <v>30.085995356241863</v>
      </c>
      <c r="F279">
        <f>_xlfn.STDEV.P(C279:C281)</f>
        <v>9.4778666713845008E-2</v>
      </c>
    </row>
    <row r="280" spans="1:6" ht="14.25" x14ac:dyDescent="0.2">
      <c r="A280" s="7" t="s">
        <v>332</v>
      </c>
      <c r="B280" s="6">
        <f>VLOOKUP(A280,'Exported Results'!A$282:D678,4,FALSE)</f>
        <v>30.06898307800293</v>
      </c>
      <c r="C280" s="6">
        <f t="shared" si="9"/>
        <v>30.06898307800293</v>
      </c>
      <c r="D280" s="3" t="str">
        <f>VLOOKUP(A280,'Exported Results'!A$282:D$641,2,FALSE)</f>
        <v>2.3.b</v>
      </c>
    </row>
    <row r="281" spans="1:6" ht="14.25" x14ac:dyDescent="0.2">
      <c r="A281" s="7" t="s">
        <v>333</v>
      </c>
      <c r="B281" s="6">
        <f>VLOOKUP(A281,'Exported Results'!A$282:D679,4,FALSE)</f>
        <v>30.20964241027832</v>
      </c>
      <c r="C281" s="6">
        <f t="shared" si="9"/>
        <v>30.20964241027832</v>
      </c>
      <c r="D281" s="3" t="str">
        <f>VLOOKUP(A281,'Exported Results'!A$282:D$641,2,FALSE)</f>
        <v>2.3.c</v>
      </c>
    </row>
    <row r="282" spans="1:6" ht="14.25" x14ac:dyDescent="0.2">
      <c r="A282" s="7" t="s">
        <v>334</v>
      </c>
      <c r="B282" s="6">
        <f>VLOOKUP(A282,'Exported Results'!A$282:D680,4,FALSE)</f>
        <v>30.481704711914063</v>
      </c>
      <c r="C282" s="6">
        <f t="shared" si="9"/>
        <v>30.481704711914063</v>
      </c>
      <c r="D282" s="3" t="str">
        <f>VLOOKUP(A282,'Exported Results'!A$282:D$641,2,FALSE)</f>
        <v>8.1.a</v>
      </c>
      <c r="E282" s="13">
        <f>AVERAGE(C282:C284)</f>
        <v>30.510065078735352</v>
      </c>
      <c r="F282">
        <f>_xlfn.STDEV.P(C282:C284)</f>
        <v>0.18862848698201534</v>
      </c>
    </row>
    <row r="283" spans="1:6" ht="14.25" x14ac:dyDescent="0.2">
      <c r="A283" s="7" t="s">
        <v>335</v>
      </c>
      <c r="B283" s="6">
        <f>VLOOKUP(A283,'Exported Results'!A$282:D681,4,FALSE)</f>
        <v>30.294532775878906</v>
      </c>
      <c r="C283" s="6">
        <f t="shared" si="9"/>
        <v>30.294532775878906</v>
      </c>
      <c r="D283" s="3" t="str">
        <f>VLOOKUP(A283,'Exported Results'!A$282:D$641,2,FALSE)</f>
        <v>8.1.b</v>
      </c>
    </row>
    <row r="284" spans="1:6" ht="14.25" x14ac:dyDescent="0.2">
      <c r="A284" s="7" t="s">
        <v>336</v>
      </c>
      <c r="B284" s="6">
        <f>VLOOKUP(A284,'Exported Results'!A$282:D682,4,FALSE)</f>
        <v>30.753957748413086</v>
      </c>
      <c r="C284" s="6">
        <f t="shared" si="9"/>
        <v>30.753957748413086</v>
      </c>
      <c r="D284" s="3" t="str">
        <f>VLOOKUP(A284,'Exported Results'!A$282:D$641,2,FALSE)</f>
        <v>8.1.c</v>
      </c>
    </row>
    <row r="285" spans="1:6" ht="14.25" x14ac:dyDescent="0.2">
      <c r="A285" s="7" t="s">
        <v>337</v>
      </c>
      <c r="B285" s="6">
        <f>VLOOKUP(A285,'Exported Results'!A$282:D683,4,FALSE)</f>
        <v>30.620611190795898</v>
      </c>
      <c r="C285" s="6">
        <f t="shared" si="9"/>
        <v>30.620611190795898</v>
      </c>
      <c r="D285" s="3" t="str">
        <f>VLOOKUP(A285,'Exported Results'!A$282:D$641,2,FALSE)</f>
        <v>8.2.a</v>
      </c>
      <c r="E285" s="13">
        <f>AVERAGE(C285:C287)</f>
        <v>30.717517852783203</v>
      </c>
      <c r="F285">
        <f>_xlfn.STDEV.P(C285:C287)</f>
        <v>0.1302765928630957</v>
      </c>
    </row>
    <row r="286" spans="1:6" ht="14.25" x14ac:dyDescent="0.2">
      <c r="A286" s="7" t="s">
        <v>338</v>
      </c>
      <c r="B286" s="6">
        <f>VLOOKUP(A286,'Exported Results'!A$282:D684,4,FALSE)</f>
        <v>30.630270004272461</v>
      </c>
      <c r="C286" s="6">
        <f t="shared" si="9"/>
        <v>30.630270004272461</v>
      </c>
      <c r="D286" s="3" t="str">
        <f>VLOOKUP(A286,'Exported Results'!A$282:D$641,2,FALSE)</f>
        <v>8.2.b</v>
      </c>
    </row>
    <row r="287" spans="1:6" ht="14.25" x14ac:dyDescent="0.2">
      <c r="A287" s="7" t="s">
        <v>339</v>
      </c>
      <c r="B287" s="6">
        <f>VLOOKUP(A287,'Exported Results'!A$282:D685,4,FALSE)</f>
        <v>30.90167236328125</v>
      </c>
      <c r="C287" s="6">
        <f t="shared" si="9"/>
        <v>30.90167236328125</v>
      </c>
      <c r="D287" s="3" t="str">
        <f>VLOOKUP(A287,'Exported Results'!A$282:D$641,2,FALSE)</f>
        <v>8.2.c</v>
      </c>
    </row>
    <row r="288" spans="1:6" ht="14.25" x14ac:dyDescent="0.2">
      <c r="A288" s="7" t="s">
        <v>340</v>
      </c>
      <c r="B288" s="6">
        <f>VLOOKUP(A288,'Exported Results'!A$282:D686,4,FALSE)</f>
        <v>30.617258071899414</v>
      </c>
      <c r="C288" s="6">
        <f t="shared" si="9"/>
        <v>30.617258071899414</v>
      </c>
      <c r="D288" s="3" t="str">
        <f>VLOOKUP(A288,'Exported Results'!A$282:D$641,2,FALSE)</f>
        <v>8.3.a</v>
      </c>
      <c r="E288" s="13">
        <f>AVERAGE(C288:C290)</f>
        <v>30.601849238077801</v>
      </c>
      <c r="F288">
        <f>_xlfn.STDEV.P(C288:C290)</f>
        <v>4.9075743460789155E-2</v>
      </c>
    </row>
    <row r="289" spans="1:6" ht="14.25" x14ac:dyDescent="0.2">
      <c r="A289" s="7" t="s">
        <v>341</v>
      </c>
      <c r="B289" s="6">
        <f>VLOOKUP(A289,'Exported Results'!A$282:D687,4,FALSE)</f>
        <v>30.535539627075195</v>
      </c>
      <c r="C289" s="6">
        <f t="shared" si="9"/>
        <v>30.535539627075195</v>
      </c>
      <c r="D289" s="3" t="str">
        <f>VLOOKUP(A289,'Exported Results'!A$282:D$641,2,FALSE)</f>
        <v>8.3.b</v>
      </c>
    </row>
    <row r="290" spans="1:6" ht="14.25" x14ac:dyDescent="0.2">
      <c r="A290" s="7" t="s">
        <v>342</v>
      </c>
      <c r="B290" s="6">
        <f>VLOOKUP(A290,'Exported Results'!A$282:D688,4,FALSE)</f>
        <v>30.652750015258789</v>
      </c>
      <c r="C290" s="6">
        <f t="shared" si="9"/>
        <v>30.652750015258789</v>
      </c>
      <c r="D290" s="3" t="str">
        <f>VLOOKUP(A290,'Exported Results'!A$282:D$641,2,FALSE)</f>
        <v>8.3.c</v>
      </c>
    </row>
    <row r="291" spans="1:6" ht="14.25" x14ac:dyDescent="0.2">
      <c r="A291" s="7" t="s">
        <v>343</v>
      </c>
      <c r="B291" s="6">
        <f>VLOOKUP(A291,'Exported Results'!A$282:D689,4,FALSE)</f>
        <v>29.55809211730957</v>
      </c>
      <c r="C291" s="6">
        <f t="shared" si="9"/>
        <v>29.55809211730957</v>
      </c>
      <c r="D291" s="3" t="str">
        <f>VLOOKUP(A291,'Exported Results'!A$282:D$641,2,FALSE)</f>
        <v>0.4.a</v>
      </c>
      <c r="E291" s="13">
        <f>AVERAGE(C291:C293)</f>
        <v>29.439935684204102</v>
      </c>
      <c r="F291">
        <f>_xlfn.STDEV.P(C291:C293)</f>
        <v>0.10459894949635697</v>
      </c>
    </row>
    <row r="292" spans="1:6" ht="14.25" x14ac:dyDescent="0.2">
      <c r="A292" s="7" t="s">
        <v>344</v>
      </c>
      <c r="B292" s="6">
        <f>VLOOKUP(A292,'Exported Results'!A$282:D690,4,FALSE)</f>
        <v>29.45793342590332</v>
      </c>
      <c r="C292" s="6">
        <f t="shared" si="9"/>
        <v>29.45793342590332</v>
      </c>
      <c r="D292" s="3" t="str">
        <f>VLOOKUP(A292,'Exported Results'!A$282:D$641,2,FALSE)</f>
        <v>0.4.b</v>
      </c>
    </row>
    <row r="293" spans="1:6" ht="14.25" x14ac:dyDescent="0.2">
      <c r="A293" s="7" t="s">
        <v>345</v>
      </c>
      <c r="B293" s="6">
        <f>VLOOKUP(A293,'Exported Results'!A$282:D691,4,FALSE)</f>
        <v>29.303781509399414</v>
      </c>
      <c r="C293" s="6">
        <f t="shared" si="9"/>
        <v>29.303781509399414</v>
      </c>
      <c r="D293" s="3" t="str">
        <f>VLOOKUP(A293,'Exported Results'!A$282:D$641,2,FALSE)</f>
        <v>0.4.c</v>
      </c>
    </row>
    <row r="294" spans="1:6" ht="14.25" x14ac:dyDescent="0.2">
      <c r="A294" s="7" t="s">
        <v>346</v>
      </c>
      <c r="B294" s="6">
        <f>VLOOKUP(A294,'Exported Results'!A$282:D692,4,FALSE)</f>
        <v>29.963361740112305</v>
      </c>
      <c r="C294" s="6">
        <f t="shared" si="9"/>
        <v>29.963361740112305</v>
      </c>
      <c r="D294" s="3" t="str">
        <f>VLOOKUP(A294,'Exported Results'!A$282:D$641,2,FALSE)</f>
        <v>0.5.a</v>
      </c>
      <c r="E294" s="13">
        <f>AVERAGE(C294:C296)</f>
        <v>29.838797569274902</v>
      </c>
      <c r="F294">
        <f>_xlfn.STDEV.P(C294:C296)</f>
        <v>0.12456417083740234</v>
      </c>
    </row>
    <row r="295" spans="1:6" ht="14.25" x14ac:dyDescent="0.2">
      <c r="A295" s="7" t="s">
        <v>347</v>
      </c>
      <c r="B295" s="6">
        <f>VLOOKUP(A295,'Exported Results'!A$282:D693,4,FALSE)</f>
        <v>29.187885284423828</v>
      </c>
      <c r="C295" s="16"/>
      <c r="D295" s="3" t="str">
        <f>VLOOKUP(A295,'Exported Results'!A$282:D$641,2,FALSE)</f>
        <v>0.5.b</v>
      </c>
    </row>
    <row r="296" spans="1:6" ht="14.25" x14ac:dyDescent="0.2">
      <c r="A296" s="7" t="s">
        <v>348</v>
      </c>
      <c r="B296" s="6">
        <f>VLOOKUP(A296,'Exported Results'!A$282:D694,4,FALSE)</f>
        <v>29.7142333984375</v>
      </c>
      <c r="C296" s="6">
        <f t="shared" si="9"/>
        <v>29.7142333984375</v>
      </c>
      <c r="D296" s="3" t="str">
        <f>VLOOKUP(A296,'Exported Results'!A$282:D$641,2,FALSE)</f>
        <v>0.5.c</v>
      </c>
    </row>
    <row r="297" spans="1:6" ht="14.25" x14ac:dyDescent="0.2">
      <c r="A297" s="7" t="s">
        <v>349</v>
      </c>
      <c r="B297" s="6">
        <f>VLOOKUP(A297,'Exported Results'!A$282:D695,4,FALSE)</f>
        <v>29.820329666137695</v>
      </c>
      <c r="C297" s="6">
        <f t="shared" si="9"/>
        <v>29.820329666137695</v>
      </c>
      <c r="D297" s="3" t="str">
        <f>VLOOKUP(A297,'Exported Results'!A$282:D$641,2,FALSE)</f>
        <v>0.6.a</v>
      </c>
      <c r="E297" s="13">
        <f>AVERAGE(C297:C299)</f>
        <v>29.796197891235352</v>
      </c>
      <c r="F297">
        <f>_xlfn.STDEV.P(C297:C299)</f>
        <v>0.11348743346810161</v>
      </c>
    </row>
    <row r="298" spans="1:6" ht="14.25" x14ac:dyDescent="0.2">
      <c r="A298" s="7" t="s">
        <v>350</v>
      </c>
      <c r="B298" s="6">
        <f>VLOOKUP(A298,'Exported Results'!A$282:D696,4,FALSE)</f>
        <v>29.646718978881836</v>
      </c>
      <c r="C298" s="6">
        <f t="shared" si="9"/>
        <v>29.646718978881836</v>
      </c>
      <c r="D298" s="3" t="str">
        <f>VLOOKUP(A298,'Exported Results'!A$282:D$641,2,FALSE)</f>
        <v>0.6.b</v>
      </c>
    </row>
    <row r="299" spans="1:6" ht="14.25" x14ac:dyDescent="0.2">
      <c r="A299" s="7" t="s">
        <v>351</v>
      </c>
      <c r="B299" s="6">
        <f>VLOOKUP(A299,'Exported Results'!A$282:D697,4,FALSE)</f>
        <v>29.921545028686523</v>
      </c>
      <c r="C299" s="6">
        <f t="shared" si="9"/>
        <v>29.921545028686523</v>
      </c>
      <c r="D299" s="3" t="str">
        <f>VLOOKUP(A299,'Exported Results'!A$282:D$641,2,FALSE)</f>
        <v>0.6.c</v>
      </c>
    </row>
    <row r="300" spans="1:6" ht="14.25" x14ac:dyDescent="0.2">
      <c r="A300" s="7" t="s">
        <v>352</v>
      </c>
      <c r="B300" s="6">
        <f>VLOOKUP(A300,'Exported Results'!A$282:D698,4,FALSE)</f>
        <v>31.928451538085938</v>
      </c>
      <c r="C300" s="16"/>
      <c r="D300" s="3" t="str">
        <f>VLOOKUP(A300,'Exported Results'!A$282:D$641,2,FALSE)</f>
        <v>0.7.a</v>
      </c>
      <c r="E300" s="13" t="e">
        <f>AVERAGE(C300:C302)</f>
        <v>#DIV/0!</v>
      </c>
      <c r="F300" t="e">
        <f>_xlfn.STDEV.P(C300:C302)</f>
        <v>#DIV/0!</v>
      </c>
    </row>
    <row r="301" spans="1:6" ht="14.25" x14ac:dyDescent="0.2">
      <c r="A301" s="7" t="s">
        <v>353</v>
      </c>
      <c r="B301" s="6">
        <f>VLOOKUP(A301,'Exported Results'!A$282:D699,4,FALSE)</f>
        <v>31.848201751708984</v>
      </c>
      <c r="C301" s="16"/>
      <c r="D301" s="3" t="str">
        <f>VLOOKUP(A301,'Exported Results'!A$282:D$641,2,FALSE)</f>
        <v>0.7.b</v>
      </c>
    </row>
    <row r="302" spans="1:6" ht="14.25" x14ac:dyDescent="0.2">
      <c r="A302" s="7" t="s">
        <v>354</v>
      </c>
      <c r="B302" s="6">
        <f>VLOOKUP(A302,'Exported Results'!A$282:D700,4,FALSE)</f>
        <v>31.879470825195313</v>
      </c>
      <c r="C302" s="16"/>
      <c r="D302" s="3" t="str">
        <f>VLOOKUP(A302,'Exported Results'!A$282:D$641,2,FALSE)</f>
        <v>0.7.c</v>
      </c>
    </row>
    <row r="303" spans="1:6" ht="14.25" x14ac:dyDescent="0.2">
      <c r="A303" s="7" t="s">
        <v>355</v>
      </c>
      <c r="B303" s="6">
        <f>VLOOKUP(A303,'Exported Results'!A$282:D701,4,FALSE)</f>
        <v>29.57624626159668</v>
      </c>
      <c r="C303" s="6">
        <f t="shared" si="9"/>
        <v>29.57624626159668</v>
      </c>
      <c r="D303" s="3" t="str">
        <f>VLOOKUP(A303,'Exported Results'!A$282:D$641,2,FALSE)</f>
        <v>0.8.a</v>
      </c>
      <c r="E303" s="13">
        <f>AVERAGE(C303:C305)</f>
        <v>29.447966893513996</v>
      </c>
      <c r="F303">
        <f>_xlfn.STDEV.P(C303:C305)</f>
        <v>0.16350500192909342</v>
      </c>
    </row>
    <row r="304" spans="1:6" ht="14.25" x14ac:dyDescent="0.2">
      <c r="A304" s="7" t="s">
        <v>356</v>
      </c>
      <c r="B304" s="6">
        <f>VLOOKUP(A304,'Exported Results'!A$282:D702,4,FALSE)</f>
        <v>29.217216491699219</v>
      </c>
      <c r="C304" s="6">
        <f t="shared" si="9"/>
        <v>29.217216491699219</v>
      </c>
      <c r="D304" s="3" t="str">
        <f>VLOOKUP(A304,'Exported Results'!A$282:D$641,2,FALSE)</f>
        <v>0.8.b</v>
      </c>
    </row>
    <row r="305" spans="1:6" ht="14.25" x14ac:dyDescent="0.2">
      <c r="A305" s="7" t="s">
        <v>357</v>
      </c>
      <c r="B305" s="6">
        <f>VLOOKUP(A305,'Exported Results'!A$282:D703,4,FALSE)</f>
        <v>29.550437927246094</v>
      </c>
      <c r="C305" s="6">
        <f t="shared" si="9"/>
        <v>29.550437927246094</v>
      </c>
      <c r="D305" s="3" t="str">
        <f>VLOOKUP(A305,'Exported Results'!A$282:D$641,2,FALSE)</f>
        <v>0.8.c</v>
      </c>
    </row>
    <row r="306" spans="1:6" ht="14.25" x14ac:dyDescent="0.2">
      <c r="A306" s="7" t="s">
        <v>358</v>
      </c>
      <c r="B306" s="6">
        <f>VLOOKUP(A306,'Exported Results'!A$282:D704,4,FALSE)</f>
        <v>29.774574279785156</v>
      </c>
      <c r="C306" s="6">
        <f t="shared" si="9"/>
        <v>29.774574279785156</v>
      </c>
      <c r="D306" s="3" t="str">
        <f>VLOOKUP(A306,'Exported Results'!A$282:D$641,2,FALSE)</f>
        <v>0.9.a</v>
      </c>
      <c r="E306" s="13">
        <f>AVERAGE(C306:C308)</f>
        <v>29.523329416910808</v>
      </c>
      <c r="F306">
        <f>_xlfn.STDEV.P(C306:C308)</f>
        <v>0.17824481882060861</v>
      </c>
    </row>
    <row r="307" spans="1:6" ht="14.25" x14ac:dyDescent="0.2">
      <c r="A307" s="7" t="s">
        <v>359</v>
      </c>
      <c r="B307" s="6">
        <f>VLOOKUP(A307,'Exported Results'!A$282:D705,4,FALSE)</f>
        <v>29.415422439575195</v>
      </c>
      <c r="C307" s="6">
        <f t="shared" si="9"/>
        <v>29.415422439575195</v>
      </c>
      <c r="D307" s="3" t="str">
        <f>VLOOKUP(A307,'Exported Results'!A$282:D$641,2,FALSE)</f>
        <v>0.9.b</v>
      </c>
    </row>
    <row r="308" spans="1:6" ht="14.25" x14ac:dyDescent="0.2">
      <c r="A308" s="7" t="s">
        <v>360</v>
      </c>
      <c r="B308" s="6">
        <f>VLOOKUP(A308,'Exported Results'!A$282:D706,4,FALSE)</f>
        <v>29.37999153137207</v>
      </c>
      <c r="C308" s="6">
        <f t="shared" si="9"/>
        <v>29.37999153137207</v>
      </c>
      <c r="D308" s="3" t="str">
        <f>VLOOKUP(A308,'Exported Results'!A$282:D$641,2,FALSE)</f>
        <v>0.9.c</v>
      </c>
    </row>
    <row r="309" spans="1:6" ht="14.25" x14ac:dyDescent="0.2">
      <c r="A309" s="7" t="s">
        <v>361</v>
      </c>
      <c r="B309" s="6">
        <f>VLOOKUP(A309,'Exported Results'!A$282:D707,4,FALSE)</f>
        <v>30.140737533569336</v>
      </c>
      <c r="C309" s="6">
        <f t="shared" si="9"/>
        <v>30.140737533569336</v>
      </c>
      <c r="D309" s="3" t="str">
        <f>VLOOKUP(A309,'Exported Results'!A$282:D$641,2,FALSE)</f>
        <v>2.4.a</v>
      </c>
      <c r="E309" s="13">
        <f>AVERAGE(C309:C311)</f>
        <v>30.085556030273438</v>
      </c>
      <c r="F309">
        <f>_xlfn.STDEV.P(C309:C311)</f>
        <v>4.8312911529940446E-2</v>
      </c>
    </row>
    <row r="310" spans="1:6" ht="14.25" x14ac:dyDescent="0.2">
      <c r="A310" s="7" t="s">
        <v>362</v>
      </c>
      <c r="B310" s="6">
        <f>VLOOKUP(A310,'Exported Results'!A$282:D708,4,FALSE)</f>
        <v>30.023073196411133</v>
      </c>
      <c r="C310" s="6">
        <f t="shared" si="9"/>
        <v>30.023073196411133</v>
      </c>
      <c r="D310" s="3" t="str">
        <f>VLOOKUP(A310,'Exported Results'!A$282:D$641,2,FALSE)</f>
        <v>2.4.b</v>
      </c>
    </row>
    <row r="311" spans="1:6" ht="14.25" x14ac:dyDescent="0.2">
      <c r="A311" s="7" t="s">
        <v>363</v>
      </c>
      <c r="B311" s="6">
        <f>VLOOKUP(A311,'Exported Results'!A$282:D709,4,FALSE)</f>
        <v>30.092857360839844</v>
      </c>
      <c r="C311" s="6">
        <f t="shared" si="9"/>
        <v>30.092857360839844</v>
      </c>
      <c r="D311" s="3" t="str">
        <f>VLOOKUP(A311,'Exported Results'!A$282:D$641,2,FALSE)</f>
        <v>2.4.c</v>
      </c>
    </row>
    <row r="312" spans="1:6" ht="14.25" x14ac:dyDescent="0.2">
      <c r="A312" s="7" t="s">
        <v>364</v>
      </c>
      <c r="B312" s="6">
        <f>VLOOKUP(A312,'Exported Results'!A$282:D710,4,FALSE)</f>
        <v>31.117273330688477</v>
      </c>
      <c r="C312" s="6">
        <f t="shared" si="9"/>
        <v>31.117273330688477</v>
      </c>
      <c r="D312" s="3" t="str">
        <f>VLOOKUP(A312,'Exported Results'!A$282:D$641,2,FALSE)</f>
        <v>2.5.a</v>
      </c>
      <c r="E312" s="13">
        <f>AVERAGE(C312:C314)</f>
        <v>30.756221771240234</v>
      </c>
      <c r="F312">
        <f>_xlfn.STDEV.P(C312:C314)</f>
        <v>0.27130963840832417</v>
      </c>
    </row>
    <row r="313" spans="1:6" ht="14.25" x14ac:dyDescent="0.2">
      <c r="A313" s="7" t="s">
        <v>365</v>
      </c>
      <c r="B313" s="6">
        <f>VLOOKUP(A313,'Exported Results'!A$282:D711,4,FALSE)</f>
        <v>30.463247299194336</v>
      </c>
      <c r="C313" s="6">
        <f t="shared" si="9"/>
        <v>30.463247299194336</v>
      </c>
      <c r="D313" s="3" t="str">
        <f>VLOOKUP(A313,'Exported Results'!A$282:D$641,2,FALSE)</f>
        <v>2.5.b</v>
      </c>
    </row>
    <row r="314" spans="1:6" ht="14.25" x14ac:dyDescent="0.2">
      <c r="A314" s="7" t="s">
        <v>366</v>
      </c>
      <c r="B314" s="6">
        <f>VLOOKUP(A314,'Exported Results'!A$282:D712,4,FALSE)</f>
        <v>30.688144683837891</v>
      </c>
      <c r="C314" s="6">
        <f t="shared" si="9"/>
        <v>30.688144683837891</v>
      </c>
      <c r="D314" s="3" t="str">
        <f>VLOOKUP(A314,'Exported Results'!A$282:D$641,2,FALSE)</f>
        <v>2.5.c</v>
      </c>
    </row>
    <row r="315" spans="1:6" ht="14.25" x14ac:dyDescent="0.2">
      <c r="A315" s="7" t="s">
        <v>367</v>
      </c>
      <c r="B315" s="6">
        <f>VLOOKUP(A315,'Exported Results'!A$282:D713,4,FALSE)</f>
        <v>29.951335906982422</v>
      </c>
      <c r="C315" s="6">
        <f t="shared" si="9"/>
        <v>29.951335906982422</v>
      </c>
      <c r="D315" s="3" t="str">
        <f>VLOOKUP(A315,'Exported Results'!A$282:D$641,2,FALSE)</f>
        <v>2.6.a</v>
      </c>
      <c r="E315" s="13">
        <f>AVERAGE(C315:C317)</f>
        <v>29.818853378295898</v>
      </c>
      <c r="F315">
        <f>_xlfn.STDEV.P(C315:C317)</f>
        <v>0.11652100932475566</v>
      </c>
    </row>
    <row r="316" spans="1:6" ht="14.25" x14ac:dyDescent="0.2">
      <c r="A316" s="7" t="s">
        <v>368</v>
      </c>
      <c r="B316" s="6">
        <f>VLOOKUP(A316,'Exported Results'!A$282:D714,4,FALSE)</f>
        <v>29.83747673034668</v>
      </c>
      <c r="C316" s="6">
        <f t="shared" si="9"/>
        <v>29.83747673034668</v>
      </c>
      <c r="D316" s="3" t="str">
        <f>VLOOKUP(A316,'Exported Results'!A$282:D$641,2,FALSE)</f>
        <v>2.6.b</v>
      </c>
    </row>
    <row r="317" spans="1:6" ht="14.25" x14ac:dyDescent="0.2">
      <c r="A317" s="7" t="s">
        <v>369</v>
      </c>
      <c r="B317" s="6">
        <f>VLOOKUP(A317,'Exported Results'!A$282:D715,4,FALSE)</f>
        <v>29.667747497558594</v>
      </c>
      <c r="C317" s="6">
        <f t="shared" si="9"/>
        <v>29.667747497558594</v>
      </c>
      <c r="D317" s="3" t="str">
        <f>VLOOKUP(A317,'Exported Results'!A$282:D$641,2,FALSE)</f>
        <v>2.6.c</v>
      </c>
    </row>
    <row r="318" spans="1:6" ht="14.25" x14ac:dyDescent="0.2">
      <c r="A318" s="7" t="s">
        <v>370</v>
      </c>
      <c r="B318" s="6">
        <f>VLOOKUP(A318,'Exported Results'!A$282:D716,4,FALSE)</f>
        <v>29.506338119506836</v>
      </c>
      <c r="C318" s="6">
        <f t="shared" si="9"/>
        <v>29.506338119506836</v>
      </c>
      <c r="D318" s="3" t="str">
        <f>VLOOKUP(A318,'Exported Results'!A$282:D$641,2,FALSE)</f>
        <v>2.7.a</v>
      </c>
      <c r="E318" s="13">
        <f>AVERAGE(C318:C320)</f>
        <v>29.39821497599284</v>
      </c>
      <c r="F318">
        <f>_xlfn.STDEV.P(C318:C320)</f>
        <v>0.18828512813213308</v>
      </c>
    </row>
    <row r="319" spans="1:6" ht="14.25" x14ac:dyDescent="0.2">
      <c r="A319" s="7" t="s">
        <v>371</v>
      </c>
      <c r="B319" s="6">
        <f>VLOOKUP(A319,'Exported Results'!A$282:D717,4,FALSE)</f>
        <v>29.554887771606445</v>
      </c>
      <c r="C319" s="6">
        <f t="shared" si="9"/>
        <v>29.554887771606445</v>
      </c>
      <c r="D319" s="3" t="str">
        <f>VLOOKUP(A319,'Exported Results'!A$282:D$641,2,FALSE)</f>
        <v>2.7.b</v>
      </c>
    </row>
    <row r="320" spans="1:6" ht="14.25" x14ac:dyDescent="0.2">
      <c r="A320" s="7" t="s">
        <v>372</v>
      </c>
      <c r="B320" s="6">
        <f>VLOOKUP(A320,'Exported Results'!A$282:D718,4,FALSE)</f>
        <v>29.133419036865234</v>
      </c>
      <c r="C320" s="6">
        <f t="shared" ref="C320:C362" si="10">IF(B320="Undetermined",40.1,B320)</f>
        <v>29.133419036865234</v>
      </c>
      <c r="D320" s="3" t="str">
        <f>VLOOKUP(A320,'Exported Results'!A$282:D$641,2,FALSE)</f>
        <v>2.7.c</v>
      </c>
    </row>
    <row r="321" spans="1:6" ht="14.25" x14ac:dyDescent="0.2">
      <c r="A321" s="7" t="s">
        <v>373</v>
      </c>
      <c r="B321" s="6" t="str">
        <f>VLOOKUP(A321,'Exported Results'!A$282:D719,4,FALSE)</f>
        <v>Undetermined</v>
      </c>
      <c r="C321" s="16"/>
      <c r="D321" s="3" t="str">
        <f>VLOOKUP(A321,'Exported Results'!A$282:D$641,2,FALSE)</f>
        <v>2.8.a</v>
      </c>
      <c r="E321" s="13" t="e">
        <f>AVERAGE(C321:C323)</f>
        <v>#DIV/0!</v>
      </c>
      <c r="F321" t="e">
        <f>_xlfn.STDEV.P(C321:C323)</f>
        <v>#DIV/0!</v>
      </c>
    </row>
    <row r="322" spans="1:6" ht="14.25" x14ac:dyDescent="0.2">
      <c r="A322" s="7" t="s">
        <v>374</v>
      </c>
      <c r="B322" s="6" t="str">
        <f>VLOOKUP(A322,'Exported Results'!A$282:D720,4,FALSE)</f>
        <v>Undetermined</v>
      </c>
      <c r="C322" s="16"/>
      <c r="D322" s="3" t="str">
        <f>VLOOKUP(A322,'Exported Results'!A$282:D$641,2,FALSE)</f>
        <v>2.8.b</v>
      </c>
    </row>
    <row r="323" spans="1:6" ht="14.25" x14ac:dyDescent="0.2">
      <c r="A323" s="7" t="s">
        <v>375</v>
      </c>
      <c r="B323" s="6" t="str">
        <f>VLOOKUP(A323,'Exported Results'!A$282:D721,4,FALSE)</f>
        <v>Undetermined</v>
      </c>
      <c r="C323" s="16"/>
      <c r="D323" s="3" t="str">
        <f>VLOOKUP(A323,'Exported Results'!A$282:D$641,2,FALSE)</f>
        <v>2.8.c</v>
      </c>
    </row>
    <row r="324" spans="1:6" ht="14.25" x14ac:dyDescent="0.2">
      <c r="A324" s="7" t="s">
        <v>376</v>
      </c>
      <c r="B324" s="6">
        <f>VLOOKUP(A324,'Exported Results'!A$282:D722,4,FALSE)</f>
        <v>30.495288848876953</v>
      </c>
      <c r="C324" s="6">
        <f t="shared" si="10"/>
        <v>30.495288848876953</v>
      </c>
      <c r="D324" s="3" t="str">
        <f>VLOOKUP(A324,'Exported Results'!A$282:D$641,2,FALSE)</f>
        <v>2.9.a</v>
      </c>
      <c r="E324" s="13">
        <f>AVERAGE(C324:C326)</f>
        <v>30.434568405151367</v>
      </c>
      <c r="F324">
        <f>_xlfn.STDEV.P(C324:C326)</f>
        <v>4.711998360111213E-2</v>
      </c>
    </row>
    <row r="325" spans="1:6" ht="14.25" x14ac:dyDescent="0.2">
      <c r="A325" s="7" t="s">
        <v>377</v>
      </c>
      <c r="B325" s="6">
        <f>VLOOKUP(A325,'Exported Results'!A$282:D723,4,FALSE)</f>
        <v>30.427982330322266</v>
      </c>
      <c r="C325" s="6">
        <f t="shared" si="10"/>
        <v>30.427982330322266</v>
      </c>
      <c r="D325" s="3" t="str">
        <f>VLOOKUP(A325,'Exported Results'!A$282:D$641,2,FALSE)</f>
        <v>2.9.b</v>
      </c>
    </row>
    <row r="326" spans="1:6" ht="14.25" x14ac:dyDescent="0.2">
      <c r="A326" s="7" t="s">
        <v>378</v>
      </c>
      <c r="B326" s="6">
        <f>VLOOKUP(A326,'Exported Results'!A$282:D724,4,FALSE)</f>
        <v>30.380434036254883</v>
      </c>
      <c r="C326" s="6">
        <f t="shared" si="10"/>
        <v>30.380434036254883</v>
      </c>
      <c r="D326" s="3" t="str">
        <f>VLOOKUP(A326,'Exported Results'!A$282:D$641,2,FALSE)</f>
        <v>2.9.c</v>
      </c>
    </row>
    <row r="327" spans="1:6" ht="14.25" x14ac:dyDescent="0.2">
      <c r="A327" s="7" t="s">
        <v>379</v>
      </c>
      <c r="B327" s="6">
        <f>VLOOKUP(A327,'Exported Results'!A$282:D725,4,FALSE)</f>
        <v>38.746761322021484</v>
      </c>
      <c r="C327" s="16"/>
      <c r="D327" s="3" t="str">
        <f>VLOOKUP(A327,'Exported Results'!A$282:D$641,2,FALSE)</f>
        <v>8.4.a</v>
      </c>
      <c r="E327" s="13" t="e">
        <f>AVERAGE(C327:C329)</f>
        <v>#DIV/0!</v>
      </c>
      <c r="F327" t="e">
        <f>_xlfn.STDEV.P(C327:C329)</f>
        <v>#DIV/0!</v>
      </c>
    </row>
    <row r="328" spans="1:6" ht="14.25" x14ac:dyDescent="0.2">
      <c r="A328" s="7" t="s">
        <v>380</v>
      </c>
      <c r="B328" s="6" t="str">
        <f>VLOOKUP(A328,'Exported Results'!A$282:D726,4,FALSE)</f>
        <v>Undetermined</v>
      </c>
      <c r="C328" s="16"/>
      <c r="D328" s="3" t="str">
        <f>VLOOKUP(A328,'Exported Results'!A$282:D$641,2,FALSE)</f>
        <v>8.4.b</v>
      </c>
    </row>
    <row r="329" spans="1:6" ht="14.25" x14ac:dyDescent="0.2">
      <c r="A329" s="7" t="s">
        <v>381</v>
      </c>
      <c r="B329" s="6">
        <f>VLOOKUP(A329,'Exported Results'!A$282:D727,4,FALSE)</f>
        <v>39.769809722900391</v>
      </c>
      <c r="C329" s="16"/>
      <c r="D329" s="3" t="str">
        <f>VLOOKUP(A329,'Exported Results'!A$282:D$641,2,FALSE)</f>
        <v>8.4.c</v>
      </c>
    </row>
    <row r="330" spans="1:6" ht="14.25" x14ac:dyDescent="0.2">
      <c r="A330" s="7" t="s">
        <v>382</v>
      </c>
      <c r="B330" s="6">
        <f>VLOOKUP(A330,'Exported Results'!A$282:D728,4,FALSE)</f>
        <v>29.814538955688477</v>
      </c>
      <c r="C330" s="6">
        <f t="shared" si="10"/>
        <v>29.814538955688477</v>
      </c>
      <c r="D330" s="3" t="str">
        <f>VLOOKUP(A330,'Exported Results'!A$282:D$641,2,FALSE)</f>
        <v>8.5.a</v>
      </c>
      <c r="E330" s="13">
        <f>AVERAGE(C330:C332)</f>
        <v>29.784991582234699</v>
      </c>
      <c r="F330">
        <f>_xlfn.STDEV.P(C330:C332)</f>
        <v>7.3821396086061669E-2</v>
      </c>
    </row>
    <row r="331" spans="1:6" ht="14.25" x14ac:dyDescent="0.2">
      <c r="A331" s="7" t="s">
        <v>383</v>
      </c>
      <c r="B331" s="6">
        <f>VLOOKUP(A331,'Exported Results'!A$282:D729,4,FALSE)</f>
        <v>29.683502197265625</v>
      </c>
      <c r="C331" s="6">
        <f t="shared" si="10"/>
        <v>29.683502197265625</v>
      </c>
      <c r="D331" s="3" t="str">
        <f>VLOOKUP(A331,'Exported Results'!A$282:D$641,2,FALSE)</f>
        <v>8.5.b</v>
      </c>
    </row>
    <row r="332" spans="1:6" ht="14.25" x14ac:dyDescent="0.2">
      <c r="A332" s="7" t="s">
        <v>384</v>
      </c>
      <c r="B332" s="6">
        <f>VLOOKUP(A332,'Exported Results'!A$282:D730,4,FALSE)</f>
        <v>29.85693359375</v>
      </c>
      <c r="C332" s="6">
        <f t="shared" si="10"/>
        <v>29.85693359375</v>
      </c>
      <c r="D332" s="3" t="str">
        <f>VLOOKUP(A332,'Exported Results'!A$282:D$641,2,FALSE)</f>
        <v>8.5.c</v>
      </c>
    </row>
    <row r="333" spans="1:6" ht="14.25" x14ac:dyDescent="0.2">
      <c r="A333" s="7" t="s">
        <v>385</v>
      </c>
      <c r="B333" s="6">
        <f>VLOOKUP(A333,'Exported Results'!A$282:D731,4,FALSE)</f>
        <v>29.532651901245117</v>
      </c>
      <c r="C333" s="6">
        <f t="shared" si="10"/>
        <v>29.532651901245117</v>
      </c>
      <c r="D333" s="3" t="str">
        <f>VLOOKUP(A333,'Exported Results'!A$282:D$641,2,FALSE)</f>
        <v>8.6.a</v>
      </c>
      <c r="E333" s="13">
        <f>AVERAGE(C333:C335)</f>
        <v>29.465534845987957</v>
      </c>
      <c r="F333">
        <f>_xlfn.STDEV.P(C333:C335)</f>
        <v>6.486351350516785E-2</v>
      </c>
    </row>
    <row r="334" spans="1:6" ht="14.25" x14ac:dyDescent="0.2">
      <c r="A334" s="7" t="s">
        <v>386</v>
      </c>
      <c r="B334" s="6">
        <f>VLOOKUP(A334,'Exported Results'!A$282:D732,4,FALSE)</f>
        <v>29.377824783325195</v>
      </c>
      <c r="C334" s="6">
        <f t="shared" si="10"/>
        <v>29.377824783325195</v>
      </c>
      <c r="D334" s="3" t="str">
        <f>VLOOKUP(A334,'Exported Results'!A$282:D$641,2,FALSE)</f>
        <v>8.6.b</v>
      </c>
    </row>
    <row r="335" spans="1:6" ht="14.25" x14ac:dyDescent="0.2">
      <c r="A335" s="7" t="s">
        <v>387</v>
      </c>
      <c r="B335" s="6">
        <f>VLOOKUP(A335,'Exported Results'!A$282:D733,4,FALSE)</f>
        <v>29.486127853393555</v>
      </c>
      <c r="C335" s="6">
        <f t="shared" si="10"/>
        <v>29.486127853393555</v>
      </c>
      <c r="D335" s="3" t="str">
        <f>VLOOKUP(A335,'Exported Results'!A$282:D$641,2,FALSE)</f>
        <v>8.6.c</v>
      </c>
    </row>
    <row r="336" spans="1:6" ht="14.25" x14ac:dyDescent="0.2">
      <c r="A336" s="7" t="s">
        <v>388</v>
      </c>
      <c r="B336" s="6">
        <f>VLOOKUP(A336,'Exported Results'!A$282:D734,4,FALSE)</f>
        <v>30.254793167114258</v>
      </c>
      <c r="C336" s="6">
        <f t="shared" si="10"/>
        <v>30.254793167114258</v>
      </c>
      <c r="D336" s="3" t="str">
        <f>VLOOKUP(A336,'Exported Results'!A$282:D$641,2,FALSE)</f>
        <v>8.7.a</v>
      </c>
      <c r="E336" s="13">
        <f>AVERAGE(C336:C338)</f>
        <v>30.055209477742512</v>
      </c>
      <c r="F336">
        <f>_xlfn.STDEV.P(C336:C338)</f>
        <v>0.15005724873528589</v>
      </c>
    </row>
    <row r="337" spans="1:6" ht="14.25" x14ac:dyDescent="0.2">
      <c r="A337" s="7" t="s">
        <v>389</v>
      </c>
      <c r="B337" s="6">
        <f>VLOOKUP(A337,'Exported Results'!A$282:D735,4,FALSE)</f>
        <v>30.017871856689453</v>
      </c>
      <c r="C337" s="6">
        <f t="shared" si="10"/>
        <v>30.017871856689453</v>
      </c>
      <c r="D337" s="3" t="str">
        <f>VLOOKUP(A337,'Exported Results'!A$282:D$641,2,FALSE)</f>
        <v>8.7.b</v>
      </c>
    </row>
    <row r="338" spans="1:6" ht="14.25" x14ac:dyDescent="0.2">
      <c r="A338" s="7" t="s">
        <v>390</v>
      </c>
      <c r="B338" s="6">
        <f>VLOOKUP(A338,'Exported Results'!A$282:D736,4,FALSE)</f>
        <v>29.892963409423828</v>
      </c>
      <c r="C338" s="6">
        <f t="shared" si="10"/>
        <v>29.892963409423828</v>
      </c>
      <c r="D338" s="3" t="str">
        <f>VLOOKUP(A338,'Exported Results'!A$282:D$641,2,FALSE)</f>
        <v>8.7.c</v>
      </c>
    </row>
    <row r="339" spans="1:6" ht="14.25" x14ac:dyDescent="0.2">
      <c r="A339" s="7" t="s">
        <v>391</v>
      </c>
      <c r="B339" s="6">
        <f>VLOOKUP(A339,'Exported Results'!A$282:D737,4,FALSE)</f>
        <v>29.875244140625</v>
      </c>
      <c r="C339" s="6">
        <f t="shared" si="10"/>
        <v>29.875244140625</v>
      </c>
      <c r="D339" s="3" t="str">
        <f>VLOOKUP(A339,'Exported Results'!A$282:D$641,2,FALSE)</f>
        <v>8.8.a</v>
      </c>
      <c r="E339" s="13">
        <f>AVERAGE(C339:C341)</f>
        <v>29.824019749959309</v>
      </c>
      <c r="F339">
        <f>_xlfn.STDEV.P(C339:C341)</f>
        <v>7.9623744995740431E-2</v>
      </c>
    </row>
    <row r="340" spans="1:6" ht="14.25" x14ac:dyDescent="0.2">
      <c r="A340" s="7" t="s">
        <v>392</v>
      </c>
      <c r="B340" s="6">
        <f>VLOOKUP(A340,'Exported Results'!A$282:D738,4,FALSE)</f>
        <v>29.711563110351563</v>
      </c>
      <c r="C340" s="6">
        <f t="shared" si="10"/>
        <v>29.711563110351563</v>
      </c>
      <c r="D340" s="3" t="str">
        <f>VLOOKUP(A340,'Exported Results'!A$282:D$641,2,FALSE)</f>
        <v>8.8.b</v>
      </c>
    </row>
    <row r="341" spans="1:6" ht="14.25" x14ac:dyDescent="0.2">
      <c r="A341" s="7" t="s">
        <v>393</v>
      </c>
      <c r="B341" s="6">
        <f>VLOOKUP(A341,'Exported Results'!A$282:D739,4,FALSE)</f>
        <v>29.885251998901367</v>
      </c>
      <c r="C341" s="6">
        <f t="shared" si="10"/>
        <v>29.885251998901367</v>
      </c>
      <c r="D341" s="3" t="str">
        <f>VLOOKUP(A341,'Exported Results'!A$282:D$641,2,FALSE)</f>
        <v>8.8.c</v>
      </c>
    </row>
    <row r="342" spans="1:6" ht="14.25" x14ac:dyDescent="0.2">
      <c r="A342" s="7" t="s">
        <v>394</v>
      </c>
      <c r="B342" s="6">
        <f>VLOOKUP(A342,'Exported Results'!A$282:D740,4,FALSE)</f>
        <v>30.678977966308594</v>
      </c>
      <c r="C342" s="6">
        <f t="shared" si="10"/>
        <v>30.678977966308594</v>
      </c>
      <c r="D342" s="3" t="str">
        <f>VLOOKUP(A342,'Exported Results'!A$282:D$641,2,FALSE)</f>
        <v>8.9.a</v>
      </c>
      <c r="E342" s="13">
        <f>AVERAGE(C342:C344)</f>
        <v>30.53379185994466</v>
      </c>
      <c r="F342">
        <f>_xlfn.STDEV.P(C342:C344)</f>
        <v>0.10781985367442097</v>
      </c>
    </row>
    <row r="343" spans="1:6" ht="14.25" x14ac:dyDescent="0.2">
      <c r="A343" s="7" t="s">
        <v>395</v>
      </c>
      <c r="B343" s="6">
        <f>VLOOKUP(A343,'Exported Results'!A$282:D741,4,FALSE)</f>
        <v>30.501552581787109</v>
      </c>
      <c r="C343" s="6">
        <f t="shared" si="10"/>
        <v>30.501552581787109</v>
      </c>
      <c r="D343" s="3" t="str">
        <f>VLOOKUP(A343,'Exported Results'!A$282:D$641,2,FALSE)</f>
        <v>8.9.b</v>
      </c>
    </row>
    <row r="344" spans="1:6" ht="14.25" x14ac:dyDescent="0.2">
      <c r="A344" s="7" t="s">
        <v>396</v>
      </c>
      <c r="B344" s="6">
        <f>VLOOKUP(A344,'Exported Results'!A$282:D742,4,FALSE)</f>
        <v>30.420845031738281</v>
      </c>
      <c r="C344" s="6">
        <f t="shared" si="10"/>
        <v>30.420845031738281</v>
      </c>
      <c r="D344" s="3" t="str">
        <f>VLOOKUP(A344,'Exported Results'!A$282:D$641,2,FALSE)</f>
        <v>8.9.c</v>
      </c>
    </row>
    <row r="345" spans="1:6" ht="14.25" x14ac:dyDescent="0.2">
      <c r="A345" s="7" t="s">
        <v>397</v>
      </c>
      <c r="B345" s="6" t="str">
        <f>VLOOKUP(A345,'Exported Results'!A$282:D743,4,FALSE)</f>
        <v>Undetermined</v>
      </c>
      <c r="C345" s="6">
        <f t="shared" si="10"/>
        <v>40.1</v>
      </c>
      <c r="D345" s="3" t="str">
        <f>VLOOKUP(A345,'Exported Results'!A$282:D$641,2,FALSE)</f>
        <v/>
      </c>
      <c r="E345" s="13">
        <f>AVERAGE(C345:C347)</f>
        <v>40.1</v>
      </c>
      <c r="F345">
        <f>_xlfn.STDEV.P(C345:C347)</f>
        <v>0</v>
      </c>
    </row>
    <row r="346" spans="1:6" ht="14.25" x14ac:dyDescent="0.2">
      <c r="A346" s="7" t="s">
        <v>398</v>
      </c>
      <c r="B346" s="6" t="str">
        <f>VLOOKUP(A346,'Exported Results'!A$282:D744,4,FALSE)</f>
        <v>Undetermined</v>
      </c>
      <c r="C346" s="6">
        <f t="shared" si="10"/>
        <v>40.1</v>
      </c>
      <c r="D346" s="3" t="str">
        <f>VLOOKUP(A346,'Exported Results'!A$282:D$641,2,FALSE)</f>
        <v/>
      </c>
    </row>
    <row r="347" spans="1:6" ht="14.25" x14ac:dyDescent="0.2">
      <c r="A347" s="7" t="s">
        <v>399</v>
      </c>
      <c r="B347" s="6" t="str">
        <f>VLOOKUP(A347,'Exported Results'!A$282:D745,4,FALSE)</f>
        <v>Undetermined</v>
      </c>
      <c r="C347" s="6">
        <f t="shared" si="10"/>
        <v>40.1</v>
      </c>
      <c r="D347" s="3" t="str">
        <f>VLOOKUP(A347,'Exported Results'!A$282:D$641,2,FALSE)</f>
        <v/>
      </c>
    </row>
    <row r="348" spans="1:6" ht="14.25" x14ac:dyDescent="0.2">
      <c r="A348" s="7" t="s">
        <v>400</v>
      </c>
      <c r="B348" s="6" t="str">
        <f>VLOOKUP(A348,'Exported Results'!A$282:D746,4,FALSE)</f>
        <v>Undetermined</v>
      </c>
      <c r="C348" s="6">
        <f t="shared" si="10"/>
        <v>40.1</v>
      </c>
      <c r="D348" s="3" t="str">
        <f>VLOOKUP(A348,'Exported Results'!A$282:D$641,2,FALSE)</f>
        <v/>
      </c>
      <c r="E348" s="13">
        <f>AVERAGE(C348:C350)</f>
        <v>40.1</v>
      </c>
      <c r="F348">
        <f>_xlfn.STDEV.P(C348:C350)</f>
        <v>0</v>
      </c>
    </row>
    <row r="349" spans="1:6" ht="14.25" x14ac:dyDescent="0.2">
      <c r="A349" s="7" t="s">
        <v>401</v>
      </c>
      <c r="B349" s="6" t="str">
        <f>VLOOKUP(A349,'Exported Results'!A$282:D747,4,FALSE)</f>
        <v>Undetermined</v>
      </c>
      <c r="C349" s="6">
        <f t="shared" si="10"/>
        <v>40.1</v>
      </c>
      <c r="D349" s="3" t="str">
        <f>VLOOKUP(A349,'Exported Results'!A$282:D$641,2,FALSE)</f>
        <v/>
      </c>
    </row>
    <row r="350" spans="1:6" ht="14.25" x14ac:dyDescent="0.2">
      <c r="A350" s="7" t="s">
        <v>402</v>
      </c>
      <c r="B350" s="6" t="str">
        <f>VLOOKUP(A350,'Exported Results'!A$282:D748,4,FALSE)</f>
        <v>Undetermined</v>
      </c>
      <c r="C350" s="6">
        <f t="shared" si="10"/>
        <v>40.1</v>
      </c>
      <c r="D350" s="3" t="str">
        <f>VLOOKUP(A350,'Exported Results'!A$282:D$641,2,FALSE)</f>
        <v/>
      </c>
    </row>
    <row r="351" spans="1:6" ht="14.25" x14ac:dyDescent="0.2">
      <c r="A351" s="7" t="s">
        <v>403</v>
      </c>
      <c r="B351" s="6" t="str">
        <f>VLOOKUP(A351,'Exported Results'!A$282:D749,4,FALSE)</f>
        <v>Undetermined</v>
      </c>
      <c r="C351" s="6">
        <f t="shared" si="10"/>
        <v>40.1</v>
      </c>
      <c r="D351" s="3" t="str">
        <f>VLOOKUP(A351,'Exported Results'!A$282:D$641,2,FALSE)</f>
        <v/>
      </c>
      <c r="E351" s="13">
        <f>AVERAGE(C351:C353)</f>
        <v>40.1</v>
      </c>
      <c r="F351">
        <f>_xlfn.STDEV.P(C351:C353)</f>
        <v>0</v>
      </c>
    </row>
    <row r="352" spans="1:6" ht="14.25" x14ac:dyDescent="0.2">
      <c r="A352" s="7" t="s">
        <v>404</v>
      </c>
      <c r="B352" s="6" t="str">
        <f>VLOOKUP(A352,'Exported Results'!A$282:D750,4,FALSE)</f>
        <v>Undetermined</v>
      </c>
      <c r="C352" s="6">
        <f t="shared" si="10"/>
        <v>40.1</v>
      </c>
      <c r="D352" s="3" t="str">
        <f>VLOOKUP(A352,'Exported Results'!A$282:D$641,2,FALSE)</f>
        <v/>
      </c>
    </row>
    <row r="353" spans="1:6" ht="14.25" x14ac:dyDescent="0.2">
      <c r="A353" s="7" t="s">
        <v>405</v>
      </c>
      <c r="B353" s="6" t="str">
        <f>VLOOKUP(A353,'Exported Results'!A$282:D751,4,FALSE)</f>
        <v>Undetermined</v>
      </c>
      <c r="C353" s="6">
        <f t="shared" si="10"/>
        <v>40.1</v>
      </c>
      <c r="D353" s="3" t="str">
        <f>VLOOKUP(A353,'Exported Results'!A$282:D$641,2,FALSE)</f>
        <v/>
      </c>
    </row>
    <row r="354" spans="1:6" ht="14.25" x14ac:dyDescent="0.2">
      <c r="A354" s="7" t="s">
        <v>406</v>
      </c>
      <c r="B354" s="6" t="str">
        <f>VLOOKUP(A354,'Exported Results'!A$282:D752,4,FALSE)</f>
        <v>Undetermined</v>
      </c>
      <c r="C354" s="6">
        <f t="shared" si="10"/>
        <v>40.1</v>
      </c>
      <c r="D354" s="3" t="str">
        <f>VLOOKUP(A354,'Exported Results'!A$282:D$641,2,FALSE)</f>
        <v/>
      </c>
      <c r="E354" s="13">
        <f>AVERAGE(C354:C356)</f>
        <v>40.1</v>
      </c>
      <c r="F354">
        <f>_xlfn.STDEV.P(C354:C356)</f>
        <v>0</v>
      </c>
    </row>
    <row r="355" spans="1:6" ht="14.25" x14ac:dyDescent="0.2">
      <c r="A355" s="7" t="s">
        <v>407</v>
      </c>
      <c r="B355" s="6" t="str">
        <f>VLOOKUP(A355,'Exported Results'!A$282:D753,4,FALSE)</f>
        <v>Undetermined</v>
      </c>
      <c r="C355" s="6">
        <f t="shared" si="10"/>
        <v>40.1</v>
      </c>
      <c r="D355" s="3" t="str">
        <f>VLOOKUP(A355,'Exported Results'!A$282:D$641,2,FALSE)</f>
        <v/>
      </c>
    </row>
    <row r="356" spans="1:6" ht="14.25" x14ac:dyDescent="0.2">
      <c r="A356" s="7" t="s">
        <v>408</v>
      </c>
      <c r="B356" s="6" t="str">
        <f>VLOOKUP(A356,'Exported Results'!A$282:D754,4,FALSE)</f>
        <v>Undetermined</v>
      </c>
      <c r="C356" s="6">
        <f t="shared" si="10"/>
        <v>40.1</v>
      </c>
      <c r="D356" s="3" t="str">
        <f>VLOOKUP(A356,'Exported Results'!A$282:D$641,2,FALSE)</f>
        <v/>
      </c>
    </row>
    <row r="357" spans="1:6" ht="14.25" x14ac:dyDescent="0.2">
      <c r="A357" s="7" t="s">
        <v>409</v>
      </c>
      <c r="B357" s="6" t="str">
        <f>VLOOKUP(A357,'Exported Results'!A$282:D755,4,FALSE)</f>
        <v>Undetermined</v>
      </c>
      <c r="C357" s="6">
        <f t="shared" si="10"/>
        <v>40.1</v>
      </c>
      <c r="D357" s="3" t="str">
        <f>VLOOKUP(A357,'Exported Results'!A$282:D$641,2,FALSE)</f>
        <v/>
      </c>
      <c r="E357" s="13">
        <f>AVERAGE(C357:C359)</f>
        <v>40.1</v>
      </c>
      <c r="F357">
        <f>_xlfn.STDEV.P(C357:C359)</f>
        <v>0</v>
      </c>
    </row>
    <row r="358" spans="1:6" ht="14.25" x14ac:dyDescent="0.2">
      <c r="A358" s="7" t="s">
        <v>410</v>
      </c>
      <c r="B358" s="6" t="str">
        <f>VLOOKUP(A358,'Exported Results'!A$282:D756,4,FALSE)</f>
        <v>Undetermined</v>
      </c>
      <c r="C358" s="6">
        <f t="shared" si="10"/>
        <v>40.1</v>
      </c>
      <c r="D358" s="3" t="str">
        <f>VLOOKUP(A358,'Exported Results'!A$282:D$641,2,FALSE)</f>
        <v/>
      </c>
    </row>
    <row r="359" spans="1:6" ht="14.25" x14ac:dyDescent="0.2">
      <c r="A359" s="7" t="s">
        <v>411</v>
      </c>
      <c r="B359" s="6" t="str">
        <f>VLOOKUP(A359,'Exported Results'!A$282:D757,4,FALSE)</f>
        <v>Undetermined</v>
      </c>
      <c r="C359" s="6">
        <f t="shared" si="10"/>
        <v>40.1</v>
      </c>
      <c r="D359" s="3" t="str">
        <f>VLOOKUP(A359,'Exported Results'!A$282:D$641,2,FALSE)</f>
        <v/>
      </c>
    </row>
    <row r="360" spans="1:6" ht="14.25" x14ac:dyDescent="0.2">
      <c r="A360" s="7" t="s">
        <v>412</v>
      </c>
      <c r="B360" s="6" t="str">
        <f>VLOOKUP(A360,'Exported Results'!A$282:D758,4,FALSE)</f>
        <v>Undetermined</v>
      </c>
      <c r="C360" s="6">
        <f t="shared" si="10"/>
        <v>40.1</v>
      </c>
      <c r="D360" s="3" t="str">
        <f>VLOOKUP(A360,'Exported Results'!A$282:D$641,2,FALSE)</f>
        <v/>
      </c>
      <c r="E360" s="13">
        <f>AVERAGE(C360:C362)</f>
        <v>40.1</v>
      </c>
      <c r="F360">
        <f>_xlfn.STDEV.P(C360:C362)</f>
        <v>0</v>
      </c>
    </row>
    <row r="361" spans="1:6" ht="14.25" x14ac:dyDescent="0.2">
      <c r="A361" s="7" t="s">
        <v>413</v>
      </c>
      <c r="B361" s="6" t="str">
        <f>VLOOKUP(A361,'Exported Results'!A$282:D759,4,FALSE)</f>
        <v>Undetermined</v>
      </c>
      <c r="C361" s="6">
        <f t="shared" si="10"/>
        <v>40.1</v>
      </c>
      <c r="D361" s="3" t="str">
        <f>VLOOKUP(A361,'Exported Results'!A$282:D$641,2,FALSE)</f>
        <v/>
      </c>
    </row>
    <row r="362" spans="1:6" ht="14.25" x14ac:dyDescent="0.2">
      <c r="A362" s="7" t="s">
        <v>414</v>
      </c>
      <c r="B362" s="6" t="str">
        <f>VLOOKUP(A362,'Exported Results'!A$282:D760,4,FALSE)</f>
        <v>Undetermined</v>
      </c>
      <c r="C362" s="6">
        <f t="shared" si="10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3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3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3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3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3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3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3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3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abSelected="1" topLeftCell="A28" workbookViewId="0">
      <selection activeCell="G39" sqref="G39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>B33</f>
        <v>STD 10a</v>
      </c>
      <c r="B2">
        <f>C33</f>
        <v>38.132823944091797</v>
      </c>
      <c r="C2">
        <f>D33</f>
        <v>0.85414732043203478</v>
      </c>
      <c r="D2" s="9">
        <f>C2/B2</f>
        <v>2.2399267405014054E-2</v>
      </c>
      <c r="E2">
        <v>0.1</v>
      </c>
      <c r="F2" s="8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39.506110890706374</v>
      </c>
      <c r="C3">
        <f t="shared" ref="C3" si="1">D34</f>
        <v>0.83988603290871511</v>
      </c>
      <c r="D3" s="9">
        <f t="shared" ref="D3:D7" si="2">C3/B3</f>
        <v>2.1259648544810172E-2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40.1</v>
      </c>
      <c r="C4">
        <f t="shared" ref="C4" si="4">D35</f>
        <v>0</v>
      </c>
      <c r="D4" s="9">
        <f t="shared" si="2"/>
        <v>0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39.359822336832686</v>
      </c>
      <c r="C5">
        <f t="shared" ref="C5" si="5">D36</f>
        <v>1.0467692898168459</v>
      </c>
      <c r="D5" s="9">
        <f t="shared" si="2"/>
        <v>2.6594868260807304E-2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40.1</v>
      </c>
      <c r="C6">
        <f t="shared" ref="C6" si="6">D37</f>
        <v>0</v>
      </c>
      <c r="D6" s="9">
        <f t="shared" si="2"/>
        <v>0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40.1</v>
      </c>
      <c r="C7">
        <f t="shared" ref="C7" si="7">D38</f>
        <v>0</v>
      </c>
      <c r="D7" s="9">
        <f t="shared" si="2"/>
        <v>0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-1.032395451894363</v>
      </c>
    </row>
    <row r="29" spans="1:7" x14ac:dyDescent="0.2">
      <c r="B29" s="12" t="s">
        <v>447</v>
      </c>
      <c r="C29" s="12">
        <f>10^(-1/C28)</f>
        <v>9.3029584727279939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Workspace'!D3</f>
        <v>Blank 1.a</v>
      </c>
      <c r="C32" s="8">
        <f>'Results Workspace'!E3</f>
        <v>40.1</v>
      </c>
      <c r="D32" s="8">
        <f>'Results Workspace'!F3</f>
        <v>0</v>
      </c>
      <c r="E32" s="9">
        <f>D32/C32</f>
        <v>0</v>
      </c>
      <c r="F32" s="8">
        <f>$C$29^($B$3-C32)</f>
        <v>0.26591723612060536</v>
      </c>
      <c r="G32" s="8"/>
    </row>
    <row r="33" spans="2:7" x14ac:dyDescent="0.2">
      <c r="B33" t="str">
        <f>'Results Workspace'!D6</f>
        <v>STD 10a</v>
      </c>
      <c r="C33" s="8">
        <f>'Results Workspace'!E6</f>
        <v>38.132823944091797</v>
      </c>
      <c r="D33" s="8">
        <f>'Results Workspace'!F6</f>
        <v>0.85414732043203478</v>
      </c>
      <c r="E33" s="9">
        <f>D33/C33</f>
        <v>2.2399267405014054E-2</v>
      </c>
      <c r="F33" s="8">
        <f>$C$29^($B$3-C33)</f>
        <v>21.389207249714435</v>
      </c>
      <c r="G33" s="8"/>
    </row>
    <row r="34" spans="2:7" x14ac:dyDescent="0.2">
      <c r="B34" t="str">
        <f>'Results Workspace'!D9</f>
        <v>STD 20a</v>
      </c>
      <c r="C34" s="8">
        <f>'Results Workspace'!E9</f>
        <v>39.506110890706374</v>
      </c>
      <c r="D34" s="8">
        <f>'Results Workspace'!F9</f>
        <v>0.83988603290871511</v>
      </c>
      <c r="E34" s="9">
        <f>D34/C34</f>
        <v>2.1259648544810172E-2</v>
      </c>
      <c r="F34" s="8">
        <f>$C$29^($B$3-C34)</f>
        <v>1</v>
      </c>
      <c r="G34" s="8"/>
    </row>
    <row r="35" spans="2:7" x14ac:dyDescent="0.2">
      <c r="B35" t="str">
        <f>'Results Workspace'!D12</f>
        <v>STD 40a</v>
      </c>
      <c r="C35" s="8">
        <f>'Results Workspace'!E12</f>
        <v>40.1</v>
      </c>
      <c r="D35" s="8">
        <f>'Results Workspace'!F12</f>
        <v>0</v>
      </c>
      <c r="E35" s="9">
        <f>D35/C35</f>
        <v>0</v>
      </c>
      <c r="F35" s="8">
        <f>$C$29^($B$3-C35)</f>
        <v>0.26591723612060536</v>
      </c>
      <c r="G35" s="8"/>
    </row>
    <row r="36" spans="2:7" x14ac:dyDescent="0.2">
      <c r="B36" t="str">
        <f>'Results Workspace'!D15</f>
        <v>STD 80a</v>
      </c>
      <c r="C36" s="8">
        <f>'Results Workspace'!E15</f>
        <v>39.359822336832686</v>
      </c>
      <c r="D36" s="8">
        <f>'Results Workspace'!F15</f>
        <v>1.0467692898168459</v>
      </c>
      <c r="E36" s="9">
        <f>D36/C36</f>
        <v>2.6594868260807304E-2</v>
      </c>
      <c r="F36" s="8">
        <f>$C$29^($B$3-C36)</f>
        <v>1.3857924068613245</v>
      </c>
      <c r="G36" s="8"/>
    </row>
    <row r="37" spans="2:7" x14ac:dyDescent="0.2">
      <c r="B37" t="str">
        <f>'Results Workspace'!D18</f>
        <v>STD 160a</v>
      </c>
      <c r="C37" s="8">
        <f>'Results Workspace'!E18</f>
        <v>40.1</v>
      </c>
      <c r="D37" s="8">
        <f>'Results Workspace'!F18</f>
        <v>0</v>
      </c>
      <c r="E37" s="9">
        <f t="shared" ref="E37:E45" si="8">D37/C37</f>
        <v>0</v>
      </c>
      <c r="F37" s="8">
        <f t="shared" ref="F37:F46" si="9">$C$29^($B$3-C37)</f>
        <v>0.26591723612060536</v>
      </c>
      <c r="G37" s="8"/>
    </row>
    <row r="38" spans="2:7" x14ac:dyDescent="0.2">
      <c r="B38" t="str">
        <f>'Results Workspace'!D21</f>
        <v>STD 320a</v>
      </c>
      <c r="C38" s="8">
        <f>'Results Workspace'!E21</f>
        <v>40.1</v>
      </c>
      <c r="D38" s="8">
        <f>'Results Workspace'!F21</f>
        <v>0</v>
      </c>
      <c r="E38" s="9">
        <f t="shared" si="8"/>
        <v>0</v>
      </c>
      <c r="F38" s="8">
        <f t="shared" si="9"/>
        <v>0.26591723612060536</v>
      </c>
      <c r="G38" s="8"/>
    </row>
    <row r="39" spans="2:7" x14ac:dyDescent="0.2">
      <c r="B39" t="str">
        <f>'Results Workspace'!D24</f>
        <v>0.1.a</v>
      </c>
      <c r="C39" s="8">
        <f>'Results Workspace'!E24</f>
        <v>39.54604822794596</v>
      </c>
      <c r="D39" s="8">
        <f>'Results Workspace'!F24</f>
        <v>0.7834061089394283</v>
      </c>
      <c r="E39" s="9">
        <f t="shared" si="8"/>
        <v>1.980997202106833E-2</v>
      </c>
      <c r="F39" s="8">
        <f t="shared" si="9"/>
        <v>0.91477829848049674</v>
      </c>
      <c r="G39" s="8">
        <f>F39/'Housekeeper summary'!$E$4</f>
        <v>1.7259967895858428</v>
      </c>
    </row>
    <row r="40" spans="2:7" x14ac:dyDescent="0.2">
      <c r="B40" t="str">
        <f>'Results Workspace'!D27</f>
        <v>0.2.a</v>
      </c>
      <c r="C40" s="8">
        <f>'Results Workspace'!E27</f>
        <v>39.553766632080077</v>
      </c>
      <c r="D40" s="8">
        <f>'Results Workspace'!F27</f>
        <v>0.77249063713308685</v>
      </c>
      <c r="E40" s="9">
        <f t="shared" si="8"/>
        <v>1.9530140942545744E-2</v>
      </c>
      <c r="F40" s="8">
        <f t="shared" si="9"/>
        <v>0.89916551878443096</v>
      </c>
      <c r="G40" s="8">
        <f>F40/'Housekeeper summary'!$E$4</f>
        <v>1.6965387146876054</v>
      </c>
    </row>
    <row r="41" spans="2:7" x14ac:dyDescent="0.2">
      <c r="B41" t="str">
        <f>'Results Workspace'!D30</f>
        <v>0.3.a</v>
      </c>
      <c r="C41" s="8">
        <f>'Results Workspace'!E30</f>
        <v>40.1</v>
      </c>
      <c r="D41" s="8">
        <f>'Results Workspace'!F30</f>
        <v>0</v>
      </c>
      <c r="E41" s="9">
        <f t="shared" si="8"/>
        <v>0</v>
      </c>
      <c r="F41" s="8">
        <f t="shared" si="9"/>
        <v>0.26591723612060536</v>
      </c>
      <c r="G41" s="8">
        <f>F41/'Housekeeper summary'!$E$4</f>
        <v>0.50173063418982145</v>
      </c>
    </row>
    <row r="42" spans="2:7" x14ac:dyDescent="0.2">
      <c r="B42" t="str">
        <f>'Results Workspace'!D33</f>
        <v>2.1.a</v>
      </c>
      <c r="C42" s="8">
        <f>'Results Workspace'!E33</f>
        <v>39.544691467285155</v>
      </c>
      <c r="D42" s="8">
        <f>'Results Workspace'!F33</f>
        <v>0.78532485826683618</v>
      </c>
      <c r="E42" s="9">
        <f t="shared" si="8"/>
        <v>1.9859172726547279E-2</v>
      </c>
      <c r="F42" s="8">
        <f t="shared" si="9"/>
        <v>0.91755063509761969</v>
      </c>
      <c r="G42" s="8">
        <f>F42/'Housekeeper summary'!$E$4</f>
        <v>1.7312276133917353</v>
      </c>
    </row>
    <row r="43" spans="2:7" x14ac:dyDescent="0.2">
      <c r="B43" t="str">
        <f>'Results Workspace'!D36</f>
        <v>2.2.a</v>
      </c>
      <c r="C43" s="8">
        <f>'Results Workspace'!E36</f>
        <v>39.017572275797527</v>
      </c>
      <c r="D43" s="8">
        <f>'Results Workspace'!F36</f>
        <v>0.79669839758655048</v>
      </c>
      <c r="E43" s="9">
        <f t="shared" si="8"/>
        <v>2.0418963844163619E-2</v>
      </c>
      <c r="F43" s="8">
        <f t="shared" si="9"/>
        <v>2.9730951053577175</v>
      </c>
      <c r="G43" s="8">
        <f>F43/'Housekeeper summary'!$E$4</f>
        <v>5.609613406335316</v>
      </c>
    </row>
    <row r="44" spans="2:7" x14ac:dyDescent="0.2">
      <c r="B44" t="str">
        <f>'Results Workspace'!D39</f>
        <v>2.3.a</v>
      </c>
      <c r="C44" s="8">
        <f>'Results Workspace'!E39</f>
        <v>40.1</v>
      </c>
      <c r="D44" s="8">
        <f>'Results Workspace'!F39</f>
        <v>0</v>
      </c>
      <c r="E44" s="9">
        <f t="shared" si="8"/>
        <v>0</v>
      </c>
      <c r="F44" s="8">
        <f t="shared" si="9"/>
        <v>0.26591723612060536</v>
      </c>
      <c r="G44" s="8">
        <f>F44/'Housekeeper summary'!$E$4</f>
        <v>0.50173063418982145</v>
      </c>
    </row>
    <row r="45" spans="2:7" x14ac:dyDescent="0.2">
      <c r="B45" t="str">
        <f>'Results Workspace'!D42</f>
        <v>8.1.a</v>
      </c>
      <c r="C45" s="8">
        <f>'Results Workspace'!E42</f>
        <v>38.832723490397136</v>
      </c>
      <c r="D45" s="8">
        <f>'Results Workspace'!F42</f>
        <v>0.89702035022643689</v>
      </c>
      <c r="E45" s="9">
        <f t="shared" si="8"/>
        <v>2.3099599245163919E-2</v>
      </c>
      <c r="F45" s="8">
        <f t="shared" si="9"/>
        <v>4.4901126044269937</v>
      </c>
      <c r="G45" s="8">
        <f>F45/'Housekeeper summary'!$E$4</f>
        <v>8.4719105743905541</v>
      </c>
    </row>
    <row r="46" spans="2:7" x14ac:dyDescent="0.2">
      <c r="B46" t="str">
        <f>'Results Workspace'!D45</f>
        <v>8.2.a</v>
      </c>
      <c r="C46" s="8">
        <f>'Results Workspace'!E45</f>
        <v>38.916370900472003</v>
      </c>
      <c r="D46" s="8">
        <f>'Results Workspace'!F45</f>
        <v>0.83766792792948108</v>
      </c>
      <c r="E46" s="9">
        <f>D46/C46</f>
        <v>2.1524821265369358E-2</v>
      </c>
      <c r="F46" s="8">
        <f t="shared" si="9"/>
        <v>3.7259291094293254</v>
      </c>
      <c r="G46" s="8">
        <f>F46/'Housekeeper summary'!$E$4</f>
        <v>7.0300549234515568</v>
      </c>
    </row>
    <row r="47" spans="2:7" x14ac:dyDescent="0.2">
      <c r="B47" t="str">
        <f>'Results Workspace'!D48</f>
        <v>8.3.a</v>
      </c>
      <c r="C47" s="8">
        <f>'Results Workspace'!E48</f>
        <v>38.91072260538737</v>
      </c>
      <c r="D47" s="8">
        <f>'Results Workspace'!F48</f>
        <v>0.84125693840920712</v>
      </c>
      <c r="E47" s="9">
        <f t="shared" ref="E47:E55" si="10">D47/C47</f>
        <v>2.1620182871976045E-2</v>
      </c>
      <c r="F47" s="8">
        <f t="shared" ref="F47:F55" si="11">$C$29^($B$3-C47)</f>
        <v>3.7731636800514616</v>
      </c>
      <c r="G47" s="8">
        <f>F47/'Housekeeper summary'!$E$4</f>
        <v>7.1191767548140783</v>
      </c>
    </row>
    <row r="48" spans="2:7" x14ac:dyDescent="0.2">
      <c r="B48" t="str">
        <f>'Results Workspace'!D51</f>
        <v>0.4.a</v>
      </c>
      <c r="C48" s="8">
        <f>'Results Workspace'!E51</f>
        <v>38.935179901123043</v>
      </c>
      <c r="D48" s="8">
        <f>'Results Workspace'!F51</f>
        <v>0.82634417171651942</v>
      </c>
      <c r="E48" s="9">
        <f t="shared" si="10"/>
        <v>2.1223586838818854E-2</v>
      </c>
      <c r="F48" s="8">
        <f t="shared" si="11"/>
        <v>3.5728583056845933</v>
      </c>
      <c r="G48" s="8">
        <f>F48/'Housekeeper summary'!$E$4</f>
        <v>6.7412420861973459</v>
      </c>
    </row>
    <row r="49" spans="2:7" x14ac:dyDescent="0.2">
      <c r="B49" t="str">
        <f>'Results Workspace'!D54</f>
        <v>0.5.a</v>
      </c>
      <c r="C49" s="8">
        <f>'Results Workspace'!E54</f>
        <v>39.517893218994139</v>
      </c>
      <c r="D49" s="8">
        <f>'Results Workspace'!F54</f>
        <v>0.82322330444783209</v>
      </c>
      <c r="E49" s="9">
        <f t="shared" si="10"/>
        <v>2.0831659721479094E-2</v>
      </c>
      <c r="F49" s="8">
        <f t="shared" si="11"/>
        <v>0.97406376601708133</v>
      </c>
      <c r="G49" s="8">
        <f>F49/'Housekeeper summary'!$E$4</f>
        <v>1.8378561622963798</v>
      </c>
    </row>
    <row r="50" spans="2:7" x14ac:dyDescent="0.2">
      <c r="B50" t="str">
        <f>'Results Workspace'!D57</f>
        <v>0.6.a</v>
      </c>
      <c r="C50" s="8">
        <f>'Results Workspace'!E57</f>
        <v>40.1</v>
      </c>
      <c r="D50" s="8">
        <f>'Results Workspace'!F57</f>
        <v>0</v>
      </c>
      <c r="E50" s="9">
        <f t="shared" si="10"/>
        <v>0</v>
      </c>
      <c r="F50" s="8">
        <f t="shared" si="11"/>
        <v>0.26591723612060536</v>
      </c>
      <c r="G50" s="8">
        <f>F50/'Housekeeper summary'!$E$4</f>
        <v>0.50173063418982145</v>
      </c>
    </row>
    <row r="51" spans="2:7" x14ac:dyDescent="0.2">
      <c r="B51" t="str">
        <f>'Results Workspace'!D60</f>
        <v>0.7.a</v>
      </c>
      <c r="C51" s="8">
        <f>'Results Workspace'!E60</f>
        <v>40.1</v>
      </c>
      <c r="D51" s="8">
        <f>'Results Workspace'!F60</f>
        <v>0</v>
      </c>
      <c r="E51" s="9">
        <f t="shared" si="10"/>
        <v>0</v>
      </c>
      <c r="F51" s="8">
        <f t="shared" si="11"/>
        <v>0.26591723612060536</v>
      </c>
      <c r="G51" s="8">
        <f>F51/'Housekeeper summary'!$E$4</f>
        <v>0.50173063418982145</v>
      </c>
    </row>
    <row r="52" spans="2:7" x14ac:dyDescent="0.2">
      <c r="B52" t="str">
        <f>'Results Workspace'!D63</f>
        <v>0.8.a</v>
      </c>
      <c r="C52" s="8">
        <f>'Results Workspace'!E63</f>
        <v>39.534785970052084</v>
      </c>
      <c r="D52" s="8">
        <f>'Results Workspace'!F63</f>
        <v>0.79933334679589718</v>
      </c>
      <c r="E52" s="9">
        <f t="shared" si="10"/>
        <v>2.0218481703717799E-2</v>
      </c>
      <c r="F52" s="8">
        <f t="shared" si="11"/>
        <v>0.93804724785320437</v>
      </c>
      <c r="G52" s="8">
        <f>F52/'Housekeeper summary'!$E$4</f>
        <v>1.7699004676475554</v>
      </c>
    </row>
    <row r="53" spans="2:7" x14ac:dyDescent="0.2">
      <c r="B53" t="str">
        <f>'Results Workspace'!D66</f>
        <v>0.9.a</v>
      </c>
      <c r="C53" s="8">
        <f>'Results Workspace'!E66</f>
        <v>40.1</v>
      </c>
      <c r="D53" s="8">
        <f>'Results Workspace'!F66</f>
        <v>0</v>
      </c>
      <c r="E53" s="9">
        <f t="shared" si="10"/>
        <v>0</v>
      </c>
      <c r="F53" s="8">
        <f t="shared" si="11"/>
        <v>0.26591723612060536</v>
      </c>
      <c r="G53" s="8">
        <f>F53/'Housekeeper summary'!$E$4</f>
        <v>0.50173063418982145</v>
      </c>
    </row>
    <row r="54" spans="2:7" x14ac:dyDescent="0.2">
      <c r="B54" t="str">
        <f>'Results Workspace'!D69</f>
        <v>2.4.a</v>
      </c>
      <c r="C54" s="8">
        <f>'Results Workspace'!E69</f>
        <v>39.155872090657546</v>
      </c>
      <c r="D54" s="8">
        <f>'Results Workspace'!F69</f>
        <v>1.3351984940070465</v>
      </c>
      <c r="E54" s="9">
        <f t="shared" si="10"/>
        <v>3.4099572368498469E-2</v>
      </c>
      <c r="F54" s="8">
        <f t="shared" si="11"/>
        <v>2.1839801439054529</v>
      </c>
      <c r="G54" s="8">
        <f>F54/'Housekeeper summary'!$E$4</f>
        <v>4.1207172526517981</v>
      </c>
    </row>
    <row r="55" spans="2:7" x14ac:dyDescent="0.2">
      <c r="B55" t="str">
        <f>'Results Workspace'!D72</f>
        <v>2.5.a</v>
      </c>
      <c r="C55" s="8">
        <f>'Results Workspace'!E72</f>
        <v>40.1</v>
      </c>
      <c r="D55" s="8">
        <f>'Results Workspace'!F72</f>
        <v>0</v>
      </c>
      <c r="E55" s="9">
        <f t="shared" si="10"/>
        <v>0</v>
      </c>
      <c r="F55" s="8">
        <f t="shared" si="11"/>
        <v>0.26591723612060536</v>
      </c>
      <c r="G55" s="8">
        <f>F55/'Housekeeper summary'!$E$4</f>
        <v>0.50173063418982145</v>
      </c>
    </row>
    <row r="56" spans="2:7" x14ac:dyDescent="0.2">
      <c r="B56" t="str">
        <f>'Results Workspace'!D75</f>
        <v>2.6.a</v>
      </c>
      <c r="C56" s="8">
        <f>'Results Workspace'!E75</f>
        <v>40.1</v>
      </c>
      <c r="D56" s="8">
        <f>'Results Workspace'!F75</f>
        <v>0</v>
      </c>
      <c r="E56" s="9">
        <f t="shared" ref="E56:E62" si="12">D56/C56</f>
        <v>0</v>
      </c>
      <c r="F56" s="8">
        <f t="shared" ref="F56:F62" si="13">$C$29^($B$3-C56)</f>
        <v>0.26591723612060536</v>
      </c>
      <c r="G56" s="8">
        <f>F56/'Housekeeper summary'!$E$4</f>
        <v>0.50173063418982145</v>
      </c>
    </row>
    <row r="57" spans="2:7" x14ac:dyDescent="0.2">
      <c r="B57" t="str">
        <f>'Results Workspace'!D78</f>
        <v>2.7.a</v>
      </c>
      <c r="C57" s="8">
        <f>'Results Workspace'!E78</f>
        <v>38.474318695068355</v>
      </c>
      <c r="D57" s="8">
        <f>'Results Workspace'!F78</f>
        <v>1.2320413740276397</v>
      </c>
      <c r="E57" s="9">
        <f t="shared" si="12"/>
        <v>3.2022435115545346E-2</v>
      </c>
      <c r="F57" s="8">
        <f t="shared" si="13"/>
        <v>9.9865544271502085</v>
      </c>
      <c r="G57" s="8">
        <f>F57/'Housekeeper summary'!$E$4</f>
        <v>18.842555522924922</v>
      </c>
    </row>
    <row r="58" spans="2:7" x14ac:dyDescent="0.2">
      <c r="B58" t="str">
        <f>'Results Workspace'!D81</f>
        <v>2.8.a</v>
      </c>
      <c r="C58" s="8" t="e">
        <f>'Results Workspace'!E81</f>
        <v>#DIV/0!</v>
      </c>
      <c r="D58" s="8" t="e">
        <f>'Results Workspace'!F81</f>
        <v>#DIV/0!</v>
      </c>
      <c r="E58" s="9" t="e">
        <f t="shared" si="12"/>
        <v>#DIV/0!</v>
      </c>
      <c r="F58" s="8" t="e">
        <f t="shared" si="13"/>
        <v>#DIV/0!</v>
      </c>
      <c r="G58" s="8" t="e">
        <f>F58/'Housekeeper summary'!$E$4</f>
        <v>#DIV/0!</v>
      </c>
    </row>
    <row r="59" spans="2:7" x14ac:dyDescent="0.2">
      <c r="B59" t="str">
        <f>'Results Workspace'!D84</f>
        <v>2.9.a</v>
      </c>
      <c r="C59" s="8">
        <f>'Results Workspace'!E84</f>
        <v>39.160395050048827</v>
      </c>
      <c r="D59" s="8">
        <f>'Results Workspace'!F84</f>
        <v>1.3288020634938411</v>
      </c>
      <c r="E59" s="9">
        <f t="shared" si="12"/>
        <v>3.3932294651153785E-2</v>
      </c>
      <c r="F59" s="8">
        <f t="shared" si="13"/>
        <v>2.1620595505979856</v>
      </c>
      <c r="G59" s="8">
        <f>F59/'Housekeeper summary'!$E$4</f>
        <v>4.0793576426377083</v>
      </c>
    </row>
    <row r="60" spans="2:7" x14ac:dyDescent="0.2">
      <c r="B60" t="str">
        <f>'Results Workspace'!D87</f>
        <v>8.4.a</v>
      </c>
      <c r="C60" s="8" t="e">
        <f>'Results Workspace'!E87</f>
        <v>#DIV/0!</v>
      </c>
      <c r="D60" s="8" t="e">
        <f>'Results Workspace'!F87</f>
        <v>#DIV/0!</v>
      </c>
      <c r="E60" s="9" t="e">
        <f t="shared" si="12"/>
        <v>#DIV/0!</v>
      </c>
      <c r="F60" s="8" t="e">
        <f t="shared" si="13"/>
        <v>#DIV/0!</v>
      </c>
      <c r="G60" s="8" t="e">
        <f>F60/'Housekeeper summary'!$E$4</f>
        <v>#DIV/0!</v>
      </c>
    </row>
    <row r="61" spans="2:7" x14ac:dyDescent="0.2">
      <c r="B61" t="str">
        <f>'Results Workspace'!D90</f>
        <v>8.5.a</v>
      </c>
      <c r="C61" s="8">
        <f>'Results Workspace'!E90</f>
        <v>39.504265848795576</v>
      </c>
      <c r="D61" s="8">
        <f>'Results Workspace'!F90</f>
        <v>0.84249531620212548</v>
      </c>
      <c r="E61" s="9">
        <f t="shared" si="12"/>
        <v>2.1326692145775237E-2</v>
      </c>
      <c r="F61" s="8">
        <f t="shared" si="13"/>
        <v>1.0041235353451299</v>
      </c>
      <c r="G61" s="8">
        <f>F61/'Housekeeper summary'!$E$4</f>
        <v>1.8945727081983581</v>
      </c>
    </row>
    <row r="62" spans="2:7" x14ac:dyDescent="0.2">
      <c r="B62" t="str">
        <f>'Results Workspace'!D93</f>
        <v>8.6.a</v>
      </c>
      <c r="C62" s="8">
        <f>'Results Workspace'!E93</f>
        <v>39.475949350992842</v>
      </c>
      <c r="D62" s="8">
        <f>'Results Workspace'!F93</f>
        <v>0.88254089143366043</v>
      </c>
      <c r="E62" s="9">
        <f t="shared" si="12"/>
        <v>2.235641969206914E-2</v>
      </c>
      <c r="F62" s="8">
        <f t="shared" si="13"/>
        <v>1.0695845063245319</v>
      </c>
      <c r="G62" s="8">
        <f>F62/'Housekeeper summary'!$E$4</f>
        <v>2.0180839741972298</v>
      </c>
    </row>
    <row r="63" spans="2:7" x14ac:dyDescent="0.2">
      <c r="B63" t="str">
        <f>'Results Workspace'!D96</f>
        <v>8.7.a</v>
      </c>
      <c r="C63" s="8">
        <f>'Results Workspace'!E96</f>
        <v>39.338629150390624</v>
      </c>
      <c r="D63" s="8">
        <f>'Results Workspace'!F96</f>
        <v>1.076740981513105</v>
      </c>
      <c r="E63" s="9">
        <f t="shared" ref="E63:E64" si="14">D63/C63</f>
        <v>2.7371085489449835E-2</v>
      </c>
      <c r="F63" s="8">
        <f t="shared" ref="F63:F64" si="15">$C$29^($B$3-C63)</f>
        <v>1.4528686229468168</v>
      </c>
      <c r="G63" s="8">
        <f>F63/'Housekeeper summary'!$E$4</f>
        <v>2.741261552729843</v>
      </c>
    </row>
    <row r="64" spans="2:7" x14ac:dyDescent="0.2">
      <c r="B64" t="str">
        <f>'Results Workspace'!D99</f>
        <v>8.8.a</v>
      </c>
      <c r="C64" s="8">
        <f>'Results Workspace'!E99</f>
        <v>39.516542816162108</v>
      </c>
      <c r="D64" s="8">
        <f>'Results Workspace'!F99</f>
        <v>0.8251330624475578</v>
      </c>
      <c r="E64" s="9">
        <f t="shared" si="14"/>
        <v>2.0880699667635946E-2</v>
      </c>
      <c r="F64" s="8">
        <f t="shared" si="15"/>
        <v>0.97700191973246098</v>
      </c>
      <c r="G64" s="8">
        <f>F64/'Housekeeper summary'!$E$4</f>
        <v>1.843399848551813</v>
      </c>
    </row>
    <row r="65" spans="2:7" x14ac:dyDescent="0.2">
      <c r="B65" t="str">
        <f>'Results Workspace'!D102</f>
        <v>8.9.a</v>
      </c>
      <c r="C65" s="8">
        <f>'Results Workspace'!E102</f>
        <v>38.475787353515621</v>
      </c>
      <c r="D65" s="8">
        <f>'Results Workspace'!F102</f>
        <v>1.239661028815058</v>
      </c>
      <c r="E65" s="9">
        <f t="shared" ref="E65" si="16">D65/C65</f>
        <v>3.2219250445092905E-2</v>
      </c>
      <c r="F65" s="8">
        <f t="shared" ref="F65" si="17">$C$29^($B$3-C65)</f>
        <v>9.9538960203591369</v>
      </c>
      <c r="G65" s="8">
        <f>F65/'Housekeeper summary'!$E$4</f>
        <v>18.780935887470068</v>
      </c>
    </row>
    <row r="66" spans="2:7" x14ac:dyDescent="0.2">
      <c r="C66" s="8"/>
      <c r="D66" s="8"/>
      <c r="E66" s="9"/>
      <c r="F66" s="8"/>
      <c r="G66" s="10"/>
    </row>
    <row r="67" spans="2:7" x14ac:dyDescent="0.2">
      <c r="C67" s="8"/>
      <c r="D67" s="8"/>
      <c r="E67" s="9"/>
      <c r="F67" s="8"/>
      <c r="G67" s="10"/>
    </row>
    <row r="68" spans="2:7" x14ac:dyDescent="0.2">
      <c r="C68" s="8"/>
      <c r="D68" s="8"/>
      <c r="E68" s="9"/>
      <c r="F68" s="8"/>
      <c r="G68" s="10"/>
    </row>
    <row r="69" spans="2:7" x14ac:dyDescent="0.2">
      <c r="C69" s="8"/>
      <c r="D69" s="8"/>
      <c r="E69" s="9"/>
      <c r="F69" s="8"/>
      <c r="G69" s="10"/>
    </row>
    <row r="70" spans="2:7" x14ac:dyDescent="0.2">
      <c r="C70" s="8"/>
      <c r="D70" s="8"/>
      <c r="E70" s="9"/>
      <c r="F70" s="8"/>
      <c r="G70" s="10"/>
    </row>
    <row r="71" spans="2:7" x14ac:dyDescent="0.2">
      <c r="C71" s="8"/>
      <c r="D71" s="8"/>
      <c r="E71" s="9"/>
      <c r="F71" s="8"/>
      <c r="G71" s="10"/>
    </row>
    <row r="72" spans="2:7" x14ac:dyDescent="0.2">
      <c r="C72" s="8"/>
      <c r="D72" s="8"/>
      <c r="E72" s="9"/>
      <c r="F72" s="8"/>
      <c r="G72" s="10"/>
    </row>
    <row r="73" spans="2:7" x14ac:dyDescent="0.2">
      <c r="C73" s="8"/>
      <c r="D73" s="8"/>
      <c r="E73" s="9"/>
      <c r="F73" s="8"/>
      <c r="G73" s="10"/>
    </row>
    <row r="74" spans="2:7" x14ac:dyDescent="0.2">
      <c r="C74" s="8"/>
      <c r="D74" s="8"/>
      <c r="E74" s="9"/>
      <c r="F74" s="8"/>
      <c r="G74" s="10"/>
    </row>
    <row r="75" spans="2:7" x14ac:dyDescent="0.2">
      <c r="C75" s="8"/>
      <c r="D75" s="8"/>
      <c r="E75" s="9"/>
      <c r="F75" s="8"/>
      <c r="G75" s="10"/>
    </row>
    <row r="76" spans="2:7" x14ac:dyDescent="0.2">
      <c r="C76" s="8"/>
      <c r="D76" s="8"/>
      <c r="E76" s="9"/>
      <c r="F76" s="8"/>
      <c r="G76" s="10"/>
    </row>
    <row r="77" spans="2:7" x14ac:dyDescent="0.2">
      <c r="C77" s="8"/>
      <c r="D77" s="8"/>
      <c r="E77" s="9"/>
      <c r="F77" s="8"/>
      <c r="G77" s="10"/>
    </row>
    <row r="78" spans="2:7" x14ac:dyDescent="0.2">
      <c r="C78" s="8"/>
      <c r="D78" s="8"/>
      <c r="E78" s="9"/>
      <c r="F78" s="10"/>
      <c r="G78" s="10"/>
    </row>
    <row r="79" spans="2:7" x14ac:dyDescent="0.2">
      <c r="C79" s="8"/>
      <c r="D79" s="8"/>
      <c r="E79" s="9"/>
      <c r="F79" s="10"/>
      <c r="G79" s="10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topLeftCell="A28" workbookViewId="0">
      <selection activeCell="J56" sqref="J56"/>
    </sheetView>
  </sheetViews>
  <sheetFormatPr defaultRowHeight="12.75" x14ac:dyDescent="0.2"/>
  <cols>
    <col min="1" max="1" width="11" customWidth="1"/>
    <col min="2" max="2" width="17.28515625" customWidth="1"/>
    <col min="3" max="5" width="11" customWidth="1"/>
    <col min="6" max="6" width="20.425781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2" si="0">B33</f>
        <v>STD 10a</v>
      </c>
      <c r="B2">
        <f t="shared" si="0"/>
        <v>26.31768798828125</v>
      </c>
      <c r="C2">
        <f t="shared" si="0"/>
        <v>2.3153305053710938E-2</v>
      </c>
      <c r="D2" s="9">
        <f>C2/B2</f>
        <v>8.7976212287419202E-4</v>
      </c>
      <c r="E2">
        <v>0.1</v>
      </c>
      <c r="F2" s="8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26.988927205403645</v>
      </c>
      <c r="C3">
        <f t="shared" si="1"/>
        <v>0.23648610252970512</v>
      </c>
      <c r="D3" s="9">
        <f t="shared" ref="D3:D7" si="2">C3/B3</f>
        <v>8.7623380036519777E-3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28.210165023803711</v>
      </c>
      <c r="C4">
        <f t="shared" si="4"/>
        <v>5.1523199333139529E-2</v>
      </c>
      <c r="D4" s="9">
        <f t="shared" si="2"/>
        <v>1.82640545667366E-3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29.209850947062176</v>
      </c>
      <c r="C5">
        <f t="shared" si="5"/>
        <v>0.14845087930271114</v>
      </c>
      <c r="D5" s="9">
        <f t="shared" si="2"/>
        <v>5.0822196789621693E-3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30.489621480305988</v>
      </c>
      <c r="C6">
        <f t="shared" si="6"/>
        <v>6.814126823254564E-2</v>
      </c>
      <c r="D6" s="9">
        <f t="shared" si="2"/>
        <v>2.2349004324819116E-3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31.748273213704426</v>
      </c>
      <c r="C7">
        <f t="shared" si="7"/>
        <v>0.13298788325022665</v>
      </c>
      <c r="D7" s="9">
        <f t="shared" si="2"/>
        <v>4.1888225654055809E-3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-3.6688033401380387</v>
      </c>
    </row>
    <row r="29" spans="1:7" x14ac:dyDescent="0.2">
      <c r="B29" s="12" t="s">
        <v>447</v>
      </c>
      <c r="C29" s="12">
        <f>10^(-1/C28)</f>
        <v>1.8731322410238331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Workspace'!D123</f>
        <v>Blank 1.a</v>
      </c>
      <c r="C32" s="8">
        <f>'Results Workspace'!E123</f>
        <v>40.1</v>
      </c>
      <c r="D32" s="8">
        <f>'Results Workspace'!F123</f>
        <v>0</v>
      </c>
      <c r="E32" s="9">
        <f>D32/C32</f>
        <v>0</v>
      </c>
      <c r="F32" s="8">
        <f>$C$29^($B$3-C32)</f>
        <v>2.6689187496445744E-4</v>
      </c>
      <c r="G32" s="8"/>
    </row>
    <row r="33" spans="2:7" x14ac:dyDescent="0.2">
      <c r="B33" t="str">
        <f>'Results Workspace'!D126</f>
        <v>STD 10a</v>
      </c>
      <c r="C33" s="8">
        <f>'Results Workspace'!E126</f>
        <v>26.31768798828125</v>
      </c>
      <c r="D33" s="8">
        <f>'Results Workspace'!F126</f>
        <v>2.3153305053710938E-2</v>
      </c>
      <c r="E33" s="9">
        <f>D33/C33</f>
        <v>8.7976212287419202E-4</v>
      </c>
      <c r="F33" s="8">
        <f>$C$29^($B$3-C33)</f>
        <v>1.5239075675346343</v>
      </c>
      <c r="G33" s="8"/>
    </row>
    <row r="34" spans="2:7" x14ac:dyDescent="0.2">
      <c r="B34" t="str">
        <f>'Results Workspace'!D129</f>
        <v>STD 20a</v>
      </c>
      <c r="C34" s="8">
        <f>'Results Workspace'!E129</f>
        <v>26.988927205403645</v>
      </c>
      <c r="D34" s="8">
        <f>'Results Workspace'!F129</f>
        <v>0.23648610252970512</v>
      </c>
      <c r="E34" s="9">
        <f>D34/C34</f>
        <v>8.7623380036519777E-3</v>
      </c>
      <c r="F34" s="8">
        <f>$C$29^($B$3-C34)</f>
        <v>1</v>
      </c>
      <c r="G34" s="8"/>
    </row>
    <row r="35" spans="2:7" x14ac:dyDescent="0.2">
      <c r="B35" t="str">
        <f>'Results Workspace'!D132</f>
        <v>STD 40a</v>
      </c>
      <c r="C35" s="8">
        <f>'Results Workspace'!E132</f>
        <v>28.210165023803711</v>
      </c>
      <c r="D35" s="8">
        <f>'Results Workspace'!F132</f>
        <v>5.1523199333139529E-2</v>
      </c>
      <c r="E35" s="9">
        <f>D35/C35</f>
        <v>1.82640545667366E-3</v>
      </c>
      <c r="F35" s="8">
        <f>$C$29^($B$3-C35)</f>
        <v>0.46465339427047037</v>
      </c>
      <c r="G35" s="8"/>
    </row>
    <row r="36" spans="2:7" x14ac:dyDescent="0.2">
      <c r="B36" t="str">
        <f>'Results Workspace'!D135</f>
        <v>STD 80a</v>
      </c>
      <c r="C36" s="8">
        <f>'Results Workspace'!E135</f>
        <v>29.209850947062176</v>
      </c>
      <c r="D36" s="8">
        <f>'Results Workspace'!F135</f>
        <v>0.14845087930271114</v>
      </c>
      <c r="E36" s="9">
        <f>D36/C36</f>
        <v>5.0822196789621693E-3</v>
      </c>
      <c r="F36" s="8">
        <f>$C$29^($B$3-C36)</f>
        <v>0.24811115031038003</v>
      </c>
      <c r="G36" s="8"/>
    </row>
    <row r="37" spans="2:7" x14ac:dyDescent="0.2">
      <c r="B37" t="str">
        <f>'Results Workspace'!D138</f>
        <v>STD 160a</v>
      </c>
      <c r="C37" s="8">
        <f>'Results Workspace'!E138</f>
        <v>30.489621480305988</v>
      </c>
      <c r="D37" s="8">
        <f>'Results Workspace'!F138</f>
        <v>6.814126823254564E-2</v>
      </c>
      <c r="E37" s="9">
        <f t="shared" ref="E37:E45" si="8">D37/C37</f>
        <v>2.2349004324819116E-3</v>
      </c>
      <c r="F37" s="8">
        <f t="shared" ref="F37:F55" si="9">$C$29^($B$3-C37)</f>
        <v>0.11112741843727716</v>
      </c>
      <c r="G37" s="8"/>
    </row>
    <row r="38" spans="2:7" x14ac:dyDescent="0.2">
      <c r="B38" t="str">
        <f>'Results Workspace'!D141</f>
        <v>STD 320a</v>
      </c>
      <c r="C38" s="8">
        <f>'Results Workspace'!E141</f>
        <v>31.748273213704426</v>
      </c>
      <c r="D38" s="8">
        <f>'Results Workspace'!F141</f>
        <v>0.13298788325022665</v>
      </c>
      <c r="E38" s="9">
        <f t="shared" si="8"/>
        <v>4.1888225654055809E-3</v>
      </c>
      <c r="F38" s="8">
        <f t="shared" si="9"/>
        <v>5.0437376318962189E-2</v>
      </c>
      <c r="G38" s="8"/>
    </row>
    <row r="39" spans="2:7" x14ac:dyDescent="0.2">
      <c r="B39" t="str">
        <f>'Results Workspace'!D144</f>
        <v>0.1.a</v>
      </c>
      <c r="C39" s="8">
        <f>'Results Workspace'!E144</f>
        <v>28.053436915079754</v>
      </c>
      <c r="D39" s="8">
        <f>'Results Workspace'!F144</f>
        <v>4.9050163049076827E-2</v>
      </c>
      <c r="E39" s="9">
        <f t="shared" si="8"/>
        <v>1.7484546794589207E-3</v>
      </c>
      <c r="F39" s="8">
        <f t="shared" si="9"/>
        <v>0.51268221262054847</v>
      </c>
      <c r="G39" s="8">
        <f>F39/'Housekeeper summary'!$E$4</f>
        <v>0.96732492947273296</v>
      </c>
    </row>
    <row r="40" spans="2:7" x14ac:dyDescent="0.2">
      <c r="B40" t="str">
        <f>'Results Workspace'!D147</f>
        <v>0.2.a</v>
      </c>
      <c r="C40" s="8">
        <f>'Results Workspace'!E147</f>
        <v>28.280895233154297</v>
      </c>
      <c r="D40" s="8">
        <f>'Results Workspace'!F147</f>
        <v>8.1555029470644316E-2</v>
      </c>
      <c r="E40" s="9">
        <f t="shared" si="8"/>
        <v>2.8837499236953295E-3</v>
      </c>
      <c r="F40" s="8">
        <f t="shared" si="9"/>
        <v>0.44447802184996099</v>
      </c>
      <c r="G40" s="8">
        <f>F40/'Housekeeper summary'!$E$4</f>
        <v>0.83863777707539811</v>
      </c>
    </row>
    <row r="41" spans="2:7" x14ac:dyDescent="0.2">
      <c r="B41" t="str">
        <f>'Results Workspace'!D150</f>
        <v>0.3.a</v>
      </c>
      <c r="C41" s="8">
        <f>'Results Workspace'!E150</f>
        <v>28.262846628824871</v>
      </c>
      <c r="D41" s="8">
        <f>'Results Workspace'!F150</f>
        <v>6.9934633984890762E-2</v>
      </c>
      <c r="E41" s="9">
        <f t="shared" si="8"/>
        <v>2.4744370198565009E-3</v>
      </c>
      <c r="F41" s="8">
        <f t="shared" si="9"/>
        <v>0.44954148009774936</v>
      </c>
      <c r="G41" s="8">
        <f>F41/'Housekeeper summary'!$E$4</f>
        <v>0.84819147188254596</v>
      </c>
    </row>
    <row r="42" spans="2:7" x14ac:dyDescent="0.2">
      <c r="B42" t="str">
        <f>'Results Workspace'!D153</f>
        <v>2.1.a</v>
      </c>
      <c r="C42" s="8">
        <f>'Results Workspace'!E153</f>
        <v>28.160039901733398</v>
      </c>
      <c r="D42" s="8">
        <f>'Results Workspace'!F153</f>
        <v>0.13827217762113816</v>
      </c>
      <c r="E42" s="9">
        <f t="shared" si="8"/>
        <v>4.9102266226770082E-3</v>
      </c>
      <c r="F42" s="8">
        <f t="shared" si="9"/>
        <v>0.47950334405193656</v>
      </c>
      <c r="G42" s="8">
        <f>F42/'Housekeeper summary'!$E$4</f>
        <v>0.90472329066403123</v>
      </c>
    </row>
    <row r="43" spans="2:7" x14ac:dyDescent="0.2">
      <c r="B43" t="str">
        <f>'Results Workspace'!D156</f>
        <v>2.2.a</v>
      </c>
      <c r="C43" s="8">
        <f>'Results Workspace'!E156</f>
        <v>28.672781626383465</v>
      </c>
      <c r="D43" s="8">
        <f>'Results Workspace'!F156</f>
        <v>0.13793183192729314</v>
      </c>
      <c r="E43" s="9">
        <f t="shared" si="8"/>
        <v>4.810549381800271E-3</v>
      </c>
      <c r="F43" s="8">
        <f t="shared" si="9"/>
        <v>0.3475637134714924</v>
      </c>
      <c r="G43" s="8">
        <f>F43/'Housekeeper summary'!$E$4</f>
        <v>0.65578059145564604</v>
      </c>
    </row>
    <row r="44" spans="2:7" x14ac:dyDescent="0.2">
      <c r="B44" t="str">
        <f>'Results Workspace'!D159</f>
        <v>2.3.a</v>
      </c>
      <c r="C44" s="8">
        <f>'Results Workspace'!E159</f>
        <v>28.189650217692058</v>
      </c>
      <c r="D44" s="8">
        <f>'Results Workspace'!F159</f>
        <v>0.14730840083234351</v>
      </c>
      <c r="E44" s="9">
        <f t="shared" si="8"/>
        <v>5.2256200305703521E-3</v>
      </c>
      <c r="F44" s="8">
        <f t="shared" si="9"/>
        <v>0.47067464387487495</v>
      </c>
      <c r="G44" s="8">
        <f>F44/'Housekeeper summary'!$E$4</f>
        <v>0.88806536580165085</v>
      </c>
    </row>
    <row r="45" spans="2:7" x14ac:dyDescent="0.2">
      <c r="B45" t="str">
        <f>'Results Workspace'!D162</f>
        <v>8.1.a</v>
      </c>
      <c r="C45" s="8">
        <f>'Results Workspace'!E162</f>
        <v>28.302849451700848</v>
      </c>
      <c r="D45" s="8">
        <f>'Results Workspace'!F162</f>
        <v>0.10131065708892591</v>
      </c>
      <c r="E45" s="9">
        <f t="shared" si="8"/>
        <v>3.5795214634418262E-3</v>
      </c>
      <c r="F45" s="8">
        <f t="shared" si="9"/>
        <v>0.43839567822379044</v>
      </c>
      <c r="G45" s="8">
        <f>F45/'Housekeeper summary'!$E$4</f>
        <v>0.82716165702601963</v>
      </c>
    </row>
    <row r="46" spans="2:7" x14ac:dyDescent="0.2">
      <c r="B46" t="str">
        <f>'Results Workspace'!D165</f>
        <v>8.2.a</v>
      </c>
      <c r="C46" s="8">
        <f>'Results Workspace'!E165</f>
        <v>28.474786122639973</v>
      </c>
      <c r="D46" s="8">
        <f>'Results Workspace'!F165</f>
        <v>0.10530054194715996</v>
      </c>
      <c r="E46" s="9">
        <f>D46/C46</f>
        <v>3.6980274932929776E-3</v>
      </c>
      <c r="F46" s="8">
        <f t="shared" si="9"/>
        <v>0.39355166501147038</v>
      </c>
      <c r="G46" s="8">
        <f>F46/'Housekeeper summary'!$E$4</f>
        <v>0.74255031134239691</v>
      </c>
    </row>
    <row r="47" spans="2:7" x14ac:dyDescent="0.2">
      <c r="B47" t="str">
        <f>'Results Workspace'!D168</f>
        <v>8.3.a</v>
      </c>
      <c r="C47" s="8">
        <f>'Results Workspace'!E168</f>
        <v>28.183966954549152</v>
      </c>
      <c r="D47" s="8">
        <f>'Results Workspace'!F168</f>
        <v>4.1416953793840923E-2</v>
      </c>
      <c r="E47" s="9">
        <f t="shared" ref="E47:E55" si="10">D47/C47</f>
        <v>1.4695217980006837E-3</v>
      </c>
      <c r="F47" s="8">
        <f t="shared" si="9"/>
        <v>0.47235648354785076</v>
      </c>
      <c r="G47" s="8">
        <f>F47/'Housekeeper summary'!$E$4</f>
        <v>0.89123864820349197</v>
      </c>
    </row>
    <row r="48" spans="2:7" x14ac:dyDescent="0.2">
      <c r="B48" t="str">
        <f>'Results Workspace'!D171</f>
        <v>0.4.a</v>
      </c>
      <c r="C48" s="8">
        <f>'Results Workspace'!E171</f>
        <v>27.705382029215496</v>
      </c>
      <c r="D48" s="8">
        <f>'Results Workspace'!F171</f>
        <v>9.8174938664565406E-2</v>
      </c>
      <c r="E48" s="9">
        <f t="shared" si="10"/>
        <v>3.5435331142894665E-3</v>
      </c>
      <c r="F48" s="8">
        <f t="shared" si="9"/>
        <v>0.63784774860307758</v>
      </c>
      <c r="G48" s="8">
        <f>F48/'Housekeeper summary'!$E$4</f>
        <v>1.2034863181190143</v>
      </c>
    </row>
    <row r="49" spans="2:7" x14ac:dyDescent="0.2">
      <c r="B49" t="str">
        <f>'Results Workspace'!D174</f>
        <v>0.5.a</v>
      </c>
      <c r="C49" s="8">
        <f>'Results Workspace'!E174</f>
        <v>28.04302469889323</v>
      </c>
      <c r="D49" s="8">
        <f>'Results Workspace'!F174</f>
        <v>0.12303792067615012</v>
      </c>
      <c r="E49" s="9">
        <f t="shared" si="10"/>
        <v>4.3874696826482502E-3</v>
      </c>
      <c r="F49" s="8">
        <f t="shared" si="9"/>
        <v>0.5160434754749087</v>
      </c>
      <c r="G49" s="8">
        <f>F49/'Housekeeper summary'!$E$4</f>
        <v>0.97366693485831823</v>
      </c>
    </row>
    <row r="50" spans="2:7" x14ac:dyDescent="0.2">
      <c r="B50" t="str">
        <f>'Results Workspace'!D177</f>
        <v>0.6.a</v>
      </c>
      <c r="C50" s="8">
        <f>'Results Workspace'!E177</f>
        <v>28.537215550740559</v>
      </c>
      <c r="D50" s="8">
        <f>'Results Workspace'!F177</f>
        <v>0.16775518771315373</v>
      </c>
      <c r="E50" s="9">
        <f t="shared" si="10"/>
        <v>5.8784707784428668E-3</v>
      </c>
      <c r="F50" s="8">
        <f t="shared" si="9"/>
        <v>0.37842991687066463</v>
      </c>
      <c r="G50" s="8">
        <f>F50/'Housekeeper summary'!$E$4</f>
        <v>0.71401871107672565</v>
      </c>
    </row>
    <row r="51" spans="2:7" x14ac:dyDescent="0.2">
      <c r="B51" t="str">
        <f>'Results Workspace'!D180</f>
        <v>0.7.a</v>
      </c>
      <c r="C51" s="8" t="e">
        <f>'Results Workspace'!E180</f>
        <v>#DIV/0!</v>
      </c>
      <c r="D51" s="8" t="e">
        <f>'Results Workspace'!F180</f>
        <v>#DIV/0!</v>
      </c>
      <c r="E51" s="9" t="e">
        <f t="shared" si="10"/>
        <v>#DIV/0!</v>
      </c>
      <c r="F51" s="8" t="e">
        <f t="shared" si="9"/>
        <v>#DIV/0!</v>
      </c>
      <c r="G51" s="8" t="e">
        <f>F51/'Housekeeper summary'!$E$4</f>
        <v>#DIV/0!</v>
      </c>
    </row>
    <row r="52" spans="2:7" x14ac:dyDescent="0.2">
      <c r="B52" t="str">
        <f>'Results Workspace'!D183</f>
        <v>0.8.a</v>
      </c>
      <c r="C52" s="8">
        <f>'Results Workspace'!E183</f>
        <v>27.370658874511719</v>
      </c>
      <c r="D52" s="8">
        <f>'Results Workspace'!F183</f>
        <v>2.936553955078125E-2</v>
      </c>
      <c r="E52" s="9">
        <f t="shared" si="10"/>
        <v>1.0728839113963464E-3</v>
      </c>
      <c r="F52" s="8">
        <f t="shared" si="9"/>
        <v>0.78695879751686204</v>
      </c>
      <c r="G52" s="8">
        <f>F52/'Housekeeper summary'!$E$4</f>
        <v>1.4848279198431358</v>
      </c>
    </row>
    <row r="53" spans="2:7" x14ac:dyDescent="0.2">
      <c r="B53" t="str">
        <f>'Results Workspace'!D186</f>
        <v>0.9.a</v>
      </c>
      <c r="C53" s="8">
        <f>'Results Workspace'!E186</f>
        <v>27.444311141967773</v>
      </c>
      <c r="D53" s="8">
        <f>'Results Workspace'!F186</f>
        <v>7.5687408447265625E-2</v>
      </c>
      <c r="E53" s="9">
        <f t="shared" si="10"/>
        <v>2.7578541890062101E-3</v>
      </c>
      <c r="F53" s="8">
        <f t="shared" si="9"/>
        <v>0.75140955136294874</v>
      </c>
      <c r="G53" s="8">
        <f>F53/'Housekeeper summary'!$E$4</f>
        <v>1.4177538704961297</v>
      </c>
    </row>
    <row r="54" spans="2:7" x14ac:dyDescent="0.2">
      <c r="B54" t="str">
        <f>'Results Workspace'!D189</f>
        <v>2.4.a</v>
      </c>
      <c r="C54" s="8">
        <f>'Results Workspace'!E189</f>
        <v>28.733622233072918</v>
      </c>
      <c r="D54" s="8">
        <f>'Results Workspace'!F189</f>
        <v>8.7619518427242818E-2</v>
      </c>
      <c r="E54" s="9">
        <f t="shared" si="10"/>
        <v>3.0493725335607414E-3</v>
      </c>
      <c r="F54" s="8">
        <f t="shared" si="9"/>
        <v>0.33454242411176277</v>
      </c>
      <c r="G54" s="8">
        <f>F54/'Housekeeper summary'!$E$4</f>
        <v>0.6312121209655901</v>
      </c>
    </row>
    <row r="55" spans="2:7" x14ac:dyDescent="0.2">
      <c r="B55" t="str">
        <f>'Results Workspace'!D192</f>
        <v>2.5.a</v>
      </c>
      <c r="C55" s="8">
        <f>'Results Workspace'!E192</f>
        <v>29.189847310384113</v>
      </c>
      <c r="D55" s="8">
        <f>'Results Workspace'!F192</f>
        <v>0.20542503130860781</v>
      </c>
      <c r="E55" s="9">
        <f t="shared" si="10"/>
        <v>7.0375507320837921E-3</v>
      </c>
      <c r="F55" s="8">
        <f t="shared" si="9"/>
        <v>0.25124570266701074</v>
      </c>
      <c r="G55" s="8">
        <f>F55/'Housekeeper summary'!$E$4</f>
        <v>0.47404849559813345</v>
      </c>
    </row>
    <row r="56" spans="2:7" x14ac:dyDescent="0.2">
      <c r="B56" t="str">
        <f>'Results Workspace'!D195</f>
        <v>2.6.a</v>
      </c>
      <c r="C56" s="8">
        <f>'Results Workspace'!E195</f>
        <v>28.22019322713216</v>
      </c>
      <c r="D56" s="8">
        <f>'Results Workspace'!F195</f>
        <v>0.12214797023697796</v>
      </c>
      <c r="E56" s="9">
        <f t="shared" ref="E56:E62" si="11">D56/C56</f>
        <v>4.3283888687034016E-3</v>
      </c>
      <c r="F56" s="8">
        <f t="shared" ref="F56:F62" si="12">$C$29^($B$3-C56)</f>
        <v>0.46173813267223557</v>
      </c>
      <c r="G56" s="8">
        <f>F56/'Housekeeper summary'!$E$4</f>
        <v>0.87120402390987839</v>
      </c>
    </row>
    <row r="57" spans="2:7" x14ac:dyDescent="0.2">
      <c r="B57" t="str">
        <f>'Results Workspace'!D198</f>
        <v>2.7.a</v>
      </c>
      <c r="C57" s="8">
        <f>'Results Workspace'!E198</f>
        <v>27.153296152750652</v>
      </c>
      <c r="D57" s="8">
        <f>'Results Workspace'!F198</f>
        <v>2.2924829727643741E-2</v>
      </c>
      <c r="E57" s="9">
        <f t="shared" si="11"/>
        <v>8.4427428621115807E-4</v>
      </c>
      <c r="F57" s="8">
        <f t="shared" si="12"/>
        <v>0.90198270977865158</v>
      </c>
      <c r="G57" s="8">
        <f>F57/'Housekeeper summary'!$E$4</f>
        <v>1.7018541693936822</v>
      </c>
    </row>
    <row r="58" spans="2:7" x14ac:dyDescent="0.2">
      <c r="B58" t="str">
        <f>'Results Workspace'!D201</f>
        <v>2.8.a</v>
      </c>
      <c r="C58" s="8" t="e">
        <f>'Results Workspace'!E201</f>
        <v>#DIV/0!</v>
      </c>
      <c r="D58" s="8" t="e">
        <f>'Results Workspace'!F201</f>
        <v>#DIV/0!</v>
      </c>
      <c r="E58" s="9" t="e">
        <f t="shared" si="11"/>
        <v>#DIV/0!</v>
      </c>
      <c r="F58" s="8" t="e">
        <f t="shared" si="12"/>
        <v>#DIV/0!</v>
      </c>
      <c r="G58" s="8" t="e">
        <f>F58/'Housekeeper summary'!$E$4</f>
        <v>#DIV/0!</v>
      </c>
    </row>
    <row r="59" spans="2:7" x14ac:dyDescent="0.2">
      <c r="B59" t="str">
        <f>'Results Workspace'!D204</f>
        <v>2.9.a</v>
      </c>
      <c r="C59" s="8">
        <f>'Results Workspace'!E204</f>
        <v>28.163593292236328</v>
      </c>
      <c r="D59" s="8">
        <f>'Results Workspace'!F204</f>
        <v>0.15801925958746846</v>
      </c>
      <c r="E59" s="9">
        <f t="shared" si="11"/>
        <v>5.6107634401547967E-3</v>
      </c>
      <c r="F59" s="8">
        <f t="shared" si="12"/>
        <v>0.47843517091360771</v>
      </c>
      <c r="G59" s="8">
        <f>F59/'Housekeeper summary'!$E$4</f>
        <v>0.9027078696483164</v>
      </c>
    </row>
    <row r="60" spans="2:7" x14ac:dyDescent="0.2">
      <c r="B60" t="str">
        <f>'Results Workspace'!D207</f>
        <v>8.4.a</v>
      </c>
      <c r="C60" s="8" t="e">
        <f>'Results Workspace'!E207</f>
        <v>#DIV/0!</v>
      </c>
      <c r="D60" s="8" t="e">
        <f>'Results Workspace'!F207</f>
        <v>#DIV/0!</v>
      </c>
      <c r="E60" s="9" t="e">
        <f t="shared" si="11"/>
        <v>#DIV/0!</v>
      </c>
      <c r="F60" s="8" t="e">
        <f t="shared" si="12"/>
        <v>#DIV/0!</v>
      </c>
      <c r="G60" s="8" t="e">
        <f>F60/'Housekeeper summary'!$E$4</f>
        <v>#DIV/0!</v>
      </c>
    </row>
    <row r="61" spans="2:7" x14ac:dyDescent="0.2">
      <c r="B61" t="str">
        <f>'Results Workspace'!D210</f>
        <v>8.5.a</v>
      </c>
      <c r="C61" s="8">
        <f>'Results Workspace'!E210</f>
        <v>28.074600219726563</v>
      </c>
      <c r="D61" s="8">
        <f>'Results Workspace'!F210</f>
        <v>7.0387797124973853E-2</v>
      </c>
      <c r="E61" s="9">
        <f t="shared" si="11"/>
        <v>2.507170060270921E-3</v>
      </c>
      <c r="F61" s="8">
        <f t="shared" si="12"/>
        <v>0.50591761517078249</v>
      </c>
      <c r="G61" s="8">
        <f>F61/'Housekeeper summary'!$E$4</f>
        <v>0.95456153805808008</v>
      </c>
    </row>
    <row r="62" spans="2:7" x14ac:dyDescent="0.2">
      <c r="B62" t="str">
        <f>'Results Workspace'!D213</f>
        <v>8.6.a</v>
      </c>
      <c r="C62" s="8">
        <f>'Results Workspace'!E213</f>
        <v>27.995891571044922</v>
      </c>
      <c r="D62" s="8">
        <f>'Results Workspace'!F213</f>
        <v>0.11736721774973422</v>
      </c>
      <c r="E62" s="9">
        <f t="shared" si="11"/>
        <v>4.1923014829476852E-3</v>
      </c>
      <c r="F62" s="8">
        <f t="shared" si="12"/>
        <v>0.53153674745394086</v>
      </c>
      <c r="G62" s="8">
        <f>F62/'Housekeeper summary'!$E$4</f>
        <v>1.0028995234980016</v>
      </c>
    </row>
    <row r="63" spans="2:7" x14ac:dyDescent="0.2">
      <c r="B63" t="str">
        <f>'Results Workspace'!D216</f>
        <v>8.7.a</v>
      </c>
      <c r="C63" s="8">
        <f>'Results Workspace'!E216</f>
        <v>28.025451024373371</v>
      </c>
      <c r="D63" s="8">
        <f>'Results Workspace'!F216</f>
        <v>0.13780843135716273</v>
      </c>
      <c r="E63" s="9">
        <f t="shared" ref="E63" si="13">D63/C63</f>
        <v>4.9172600732567164E-3</v>
      </c>
      <c r="F63" s="8">
        <f t="shared" ref="F63" si="14">$C$29^($B$3-C63)</f>
        <v>0.52176665464080274</v>
      </c>
      <c r="G63" s="8">
        <f>F63/'Housekeeper summary'!$E$4</f>
        <v>0.98446538611472212</v>
      </c>
    </row>
    <row r="64" spans="2:7" x14ac:dyDescent="0.2">
      <c r="B64" t="str">
        <f>'Results Workspace'!D219</f>
        <v>8.8.a</v>
      </c>
      <c r="C64" s="8">
        <f>'Results Workspace'!E219</f>
        <v>27.706926981608074</v>
      </c>
      <c r="D64" s="8">
        <f>'Results Workspace'!F219</f>
        <v>0.12523446271017996</v>
      </c>
      <c r="E64" s="8">
        <f>'Results Workspace'!G193</f>
        <v>0</v>
      </c>
      <c r="F64" s="8">
        <f t="shared" ref="F64:F65" si="15">$C$29^($B$3-C64)</f>
        <v>0.63722957159464622</v>
      </c>
      <c r="G64" s="8">
        <f>F64/'Housekeeper summary'!$E$4</f>
        <v>1.2023199464049927</v>
      </c>
    </row>
    <row r="65" spans="2:7" x14ac:dyDescent="0.2">
      <c r="B65" t="str">
        <f>'Results Workspace'!D222</f>
        <v>8.9.a</v>
      </c>
      <c r="C65" s="8">
        <f>'Results Workspace'!E222</f>
        <v>28.124238967895508</v>
      </c>
      <c r="D65" s="8">
        <f>'Results Workspace'!F222</f>
        <v>0.10919017325726121</v>
      </c>
      <c r="E65" s="8">
        <f>'Results Workspace'!G194</f>
        <v>0</v>
      </c>
      <c r="F65" s="8">
        <f t="shared" si="15"/>
        <v>0.49039930377634883</v>
      </c>
      <c r="G65" s="8">
        <f>F65/'Housekeeper summary'!$E$4</f>
        <v>0.92528170523839393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opLeftCell="A28" workbookViewId="0">
      <selection activeCell="E68" sqref="E68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7" si="0">B33</f>
        <v>STD 10a</v>
      </c>
      <c r="B2">
        <f t="shared" si="0"/>
        <v>28.361588160196941</v>
      </c>
      <c r="C2">
        <f t="shared" si="0"/>
        <v>7.7795227912369661E-2</v>
      </c>
      <c r="D2" s="9">
        <f>C2/B2</f>
        <v>2.7429785480613035E-3</v>
      </c>
      <c r="E2">
        <v>0.1</v>
      </c>
      <c r="F2" s="8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29.062718073527019</v>
      </c>
      <c r="C3">
        <f t="shared" si="0"/>
        <v>0.12143575049580509</v>
      </c>
      <c r="D3" s="9">
        <f t="shared" ref="D3:D7" si="1">C3/B3</f>
        <v>4.1784030725749589E-3</v>
      </c>
      <c r="E3">
        <v>0.05</v>
      </c>
      <c r="F3" s="8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30.123767217000324</v>
      </c>
      <c r="C4">
        <f t="shared" si="0"/>
        <v>0.11821576456401017</v>
      </c>
      <c r="D4" s="9">
        <f t="shared" si="1"/>
        <v>3.9243353499722701E-3</v>
      </c>
      <c r="E4">
        <v>2.5000000000000001E-2</v>
      </c>
      <c r="F4" s="8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31.634492874145508</v>
      </c>
      <c r="C5">
        <f t="shared" si="0"/>
        <v>9.7381591796875E-2</v>
      </c>
      <c r="D5" s="9">
        <f t="shared" si="1"/>
        <v>3.0783357958130511E-3</v>
      </c>
      <c r="E5">
        <v>1.2500000000000001E-2</v>
      </c>
      <c r="F5" s="8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32.566486358642578</v>
      </c>
      <c r="C6">
        <f t="shared" si="0"/>
        <v>4.0200759349813597E-2</v>
      </c>
      <c r="D6" s="9">
        <f t="shared" si="1"/>
        <v>1.23442114408959E-3</v>
      </c>
      <c r="E6">
        <v>6.2500000000000003E-3</v>
      </c>
      <c r="F6" s="8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33.611462910970054</v>
      </c>
      <c r="C7">
        <f t="shared" si="0"/>
        <v>0.13156685998848572</v>
      </c>
      <c r="D7" s="9">
        <f t="shared" si="1"/>
        <v>3.9143449464541201E-3</v>
      </c>
      <c r="E7">
        <v>3.1250000000000002E-3</v>
      </c>
      <c r="F7" s="8">
        <f t="shared" si="2"/>
        <v>-2.5051499783199058</v>
      </c>
    </row>
    <row r="28" spans="1:7" x14ac:dyDescent="0.2">
      <c r="B28" s="3" t="s">
        <v>446</v>
      </c>
      <c r="C28">
        <f>SLOPE(B2:B7,F2:F7)</f>
        <v>-3.6324243732344228</v>
      </c>
    </row>
    <row r="29" spans="1:7" x14ac:dyDescent="0.2">
      <c r="B29" s="12" t="s">
        <v>447</v>
      </c>
      <c r="C29" s="12">
        <f>10^(-1/C28)</f>
        <v>1.8849430347856657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Workspace'!D243</f>
        <v>Blank 1.a</v>
      </c>
      <c r="C32" s="8">
        <f>'Results Workspace'!E243</f>
        <v>40.1</v>
      </c>
      <c r="D32" s="8">
        <f>'Results Workspace'!F243</f>
        <v>0</v>
      </c>
      <c r="E32" s="9">
        <f>D32/C32</f>
        <v>0</v>
      </c>
      <c r="F32" s="8">
        <f>$C$29^($B$3-C32)</f>
        <v>9.1507317281536312E-4</v>
      </c>
      <c r="G32" s="8"/>
    </row>
    <row r="33" spans="2:7" x14ac:dyDescent="0.2">
      <c r="B33" t="str">
        <f>'Results Workspace'!D246</f>
        <v>STD 10a</v>
      </c>
      <c r="C33" s="8">
        <f>'Results Workspace'!E246</f>
        <v>28.361588160196941</v>
      </c>
      <c r="D33" s="8">
        <f>'Results Workspace'!F246</f>
        <v>7.7795227912369661E-2</v>
      </c>
      <c r="E33" s="9">
        <f>D33/C33</f>
        <v>2.7429785480613035E-3</v>
      </c>
      <c r="F33" s="8">
        <f>$C$29^($B$3-C33)</f>
        <v>1.5596236925959537</v>
      </c>
      <c r="G33" s="8"/>
    </row>
    <row r="34" spans="2:7" x14ac:dyDescent="0.2">
      <c r="B34" t="str">
        <f>'Results Workspace'!D249</f>
        <v>STD 20a</v>
      </c>
      <c r="C34" s="8">
        <f>'Results Workspace'!E249</f>
        <v>29.062718073527019</v>
      </c>
      <c r="D34" s="8">
        <f>'Results Workspace'!F249</f>
        <v>0.12143575049580509</v>
      </c>
      <c r="E34" s="9">
        <f>D34/C34</f>
        <v>4.1784030725749589E-3</v>
      </c>
      <c r="F34" s="8">
        <f>$C$29^($B$3-C34)</f>
        <v>1</v>
      </c>
      <c r="G34" s="8"/>
    </row>
    <row r="35" spans="2:7" x14ac:dyDescent="0.2">
      <c r="B35" t="str">
        <f>'Results Workspace'!D252</f>
        <v>STD 40a</v>
      </c>
      <c r="C35" s="8">
        <f>'Results Workspace'!E252</f>
        <v>30.123767217000324</v>
      </c>
      <c r="D35" s="8">
        <f>'Results Workspace'!F252</f>
        <v>0.11821576456401017</v>
      </c>
      <c r="E35" s="9">
        <f>D35/C35</f>
        <v>3.9243353499722701E-3</v>
      </c>
      <c r="F35" s="8">
        <f>$C$29^($B$3-C35)</f>
        <v>0.51038164697932809</v>
      </c>
      <c r="G35" s="8"/>
    </row>
    <row r="36" spans="2:7" x14ac:dyDescent="0.2">
      <c r="B36" t="str">
        <f>'Results Workspace'!D255</f>
        <v>STD 80a</v>
      </c>
      <c r="C36" s="8">
        <f>'Results Workspace'!E255</f>
        <v>31.634492874145508</v>
      </c>
      <c r="D36" s="8">
        <f>'Results Workspace'!F255</f>
        <v>9.7381591796875E-2</v>
      </c>
      <c r="E36" s="9">
        <f>D36/C36</f>
        <v>3.0783357958130511E-3</v>
      </c>
      <c r="F36" s="8">
        <f>$C$29^($B$3-C36)</f>
        <v>0.19588218953087727</v>
      </c>
      <c r="G36" s="8"/>
    </row>
    <row r="37" spans="2:7" x14ac:dyDescent="0.2">
      <c r="B37" t="str">
        <f>'Results Workspace'!D258</f>
        <v>STD 160a</v>
      </c>
      <c r="C37" s="8">
        <f>'Results Workspace'!E258</f>
        <v>32.566486358642578</v>
      </c>
      <c r="D37" s="8">
        <f>'Results Workspace'!F258</f>
        <v>4.0200759349813597E-2</v>
      </c>
      <c r="E37" s="9">
        <f t="shared" ref="E37:E45" si="3">D37/C37</f>
        <v>1.23442114408959E-3</v>
      </c>
      <c r="F37" s="8">
        <f t="shared" ref="F37:F65" si="4">$C$29^($B$3-C37)</f>
        <v>0.10849726567316358</v>
      </c>
      <c r="G37" s="8"/>
    </row>
    <row r="38" spans="2:7" x14ac:dyDescent="0.2">
      <c r="B38" t="str">
        <f>'Results Workspace'!D261</f>
        <v>STD 320a</v>
      </c>
      <c r="C38" s="8">
        <f>'Results Workspace'!E261</f>
        <v>33.611462910970054</v>
      </c>
      <c r="D38" s="8">
        <f>'Results Workspace'!F261</f>
        <v>0.13156685998848572</v>
      </c>
      <c r="E38" s="9">
        <f t="shared" si="3"/>
        <v>3.9143449464541201E-3</v>
      </c>
      <c r="F38" s="8">
        <f t="shared" si="4"/>
        <v>5.5942078487374015E-2</v>
      </c>
      <c r="G38" s="8"/>
    </row>
    <row r="39" spans="2:7" x14ac:dyDescent="0.2">
      <c r="B39" t="str">
        <f>'Results Workspace'!D264</f>
        <v>0.1.a</v>
      </c>
      <c r="C39" s="8">
        <f>'Results Workspace'!E264</f>
        <v>30.189127604166668</v>
      </c>
      <c r="D39" s="8">
        <f>'Results Workspace'!F264</f>
        <v>2.9176291371240563E-2</v>
      </c>
      <c r="E39" s="9">
        <f t="shared" si="3"/>
        <v>9.6645029806073906E-4</v>
      </c>
      <c r="F39" s="8">
        <f t="shared" si="4"/>
        <v>0.48966769163543244</v>
      </c>
      <c r="G39" s="8">
        <f>F39/'Housekeeper summary'!$E$4</f>
        <v>0.92390130497251399</v>
      </c>
    </row>
    <row r="40" spans="2:7" x14ac:dyDescent="0.2">
      <c r="B40" t="str">
        <f>'Results Workspace'!D267</f>
        <v>0.2.a</v>
      </c>
      <c r="C40" s="8">
        <f>'Results Workspace'!E267</f>
        <v>30.717288335164387</v>
      </c>
      <c r="D40" s="8">
        <f>'Results Workspace'!F267</f>
        <v>0.1072646073709863</v>
      </c>
      <c r="E40" s="9">
        <f t="shared" si="3"/>
        <v>3.4919946774140359E-3</v>
      </c>
      <c r="F40" s="8">
        <f t="shared" si="4"/>
        <v>0.35034807518246819</v>
      </c>
      <c r="G40" s="8">
        <f>F40/'Housekeeper summary'!$E$4</f>
        <v>0.66103410411786445</v>
      </c>
    </row>
    <row r="41" spans="2:7" x14ac:dyDescent="0.2">
      <c r="B41" t="str">
        <f>'Results Workspace'!D270</f>
        <v>0.3.a</v>
      </c>
      <c r="C41" s="8">
        <f>'Results Workspace'!E270</f>
        <v>30.449099858601887</v>
      </c>
      <c r="D41" s="8">
        <f>'Results Workspace'!F270</f>
        <v>0.15330654292664064</v>
      </c>
      <c r="E41" s="9">
        <f t="shared" si="3"/>
        <v>5.0348464696348474E-3</v>
      </c>
      <c r="F41" s="8">
        <f t="shared" si="4"/>
        <v>0.41527094740336473</v>
      </c>
      <c r="G41" s="8">
        <f>F41/'Housekeeper summary'!$E$4</f>
        <v>0.78353008944031077</v>
      </c>
    </row>
    <row r="42" spans="2:7" x14ac:dyDescent="0.2">
      <c r="B42" t="str">
        <f>'Results Workspace'!D273</f>
        <v>2.1.a</v>
      </c>
      <c r="C42" s="8">
        <f>'Results Workspace'!E273</f>
        <v>30.522472381591797</v>
      </c>
      <c r="D42" s="8">
        <f>'Results Workspace'!F273</f>
        <v>0.18523757588653786</v>
      </c>
      <c r="E42" s="9">
        <f t="shared" si="3"/>
        <v>6.0688915881616208E-3</v>
      </c>
      <c r="F42" s="8">
        <f t="shared" si="4"/>
        <v>0.39639870131863864</v>
      </c>
      <c r="G42" s="8">
        <f>F42/'Housekeeper summary'!$E$4</f>
        <v>0.74792207795969545</v>
      </c>
    </row>
    <row r="43" spans="2:7" x14ac:dyDescent="0.2">
      <c r="B43" t="str">
        <f>'Results Workspace'!D276</f>
        <v>2.2.a</v>
      </c>
      <c r="C43" s="8">
        <f>'Results Workspace'!E276</f>
        <v>30.335465749104817</v>
      </c>
      <c r="D43" s="8">
        <f>'Results Workspace'!F276</f>
        <v>0.16570460934132289</v>
      </c>
      <c r="E43" s="9">
        <f t="shared" si="3"/>
        <v>5.4624053150135908E-3</v>
      </c>
      <c r="F43" s="8">
        <f t="shared" si="4"/>
        <v>0.44628759757369979</v>
      </c>
      <c r="G43" s="8">
        <f>F43/'Housekeeper summary'!$E$4</f>
        <v>0.8420520708937731</v>
      </c>
    </row>
    <row r="44" spans="2:7" x14ac:dyDescent="0.2">
      <c r="B44" t="str">
        <f>'Results Workspace'!D279</f>
        <v>2.3.a</v>
      </c>
      <c r="C44" s="8">
        <f>'Results Workspace'!E279</f>
        <v>30.085995356241863</v>
      </c>
      <c r="D44" s="8">
        <f>'Results Workspace'!F279</f>
        <v>9.4778666713845008E-2</v>
      </c>
      <c r="E44" s="9">
        <f t="shared" si="3"/>
        <v>3.1502586366710158E-3</v>
      </c>
      <c r="F44" s="8">
        <f t="shared" si="4"/>
        <v>0.52274943901191684</v>
      </c>
      <c r="G44" s="8">
        <f>F44/'Housekeeper summary'!$E$4</f>
        <v>0.98631969624889959</v>
      </c>
    </row>
    <row r="45" spans="2:7" x14ac:dyDescent="0.2">
      <c r="B45" t="str">
        <f>'Results Workspace'!D282</f>
        <v>8.1.a</v>
      </c>
      <c r="C45" s="8">
        <f>'Results Workspace'!E282</f>
        <v>30.510065078735352</v>
      </c>
      <c r="D45" s="8">
        <f>'Results Workspace'!F282</f>
        <v>0.18862848698201534</v>
      </c>
      <c r="E45" s="9">
        <f t="shared" si="3"/>
        <v>6.1825003157231556E-3</v>
      </c>
      <c r="F45" s="8">
        <f t="shared" si="4"/>
        <v>0.39952865339135435</v>
      </c>
      <c r="G45" s="8">
        <f>F45/'Housekeeper summary'!$E$4</f>
        <v>0.75382764790821577</v>
      </c>
    </row>
    <row r="46" spans="2:7" x14ac:dyDescent="0.2">
      <c r="B46" t="str">
        <f>'Results Workspace'!D285</f>
        <v>8.2.a</v>
      </c>
      <c r="C46" s="8">
        <f>'Results Workspace'!E285</f>
        <v>30.717517852783203</v>
      </c>
      <c r="D46" s="8">
        <f>'Results Workspace'!F285</f>
        <v>0.1302765928630957</v>
      </c>
      <c r="E46" s="9">
        <f>D46/C46</f>
        <v>4.2411171855570948E-3</v>
      </c>
      <c r="F46" s="8">
        <f t="shared" si="4"/>
        <v>0.35029710651488249</v>
      </c>
      <c r="G46" s="8">
        <f>F46/'Housekeeper summary'!$E$4</f>
        <v>0.66093793682053292</v>
      </c>
    </row>
    <row r="47" spans="2:7" x14ac:dyDescent="0.2">
      <c r="B47" t="str">
        <f>'Results Workspace'!D288</f>
        <v>8.3.a</v>
      </c>
      <c r="C47" s="8">
        <f>'Results Workspace'!E288</f>
        <v>30.601849238077801</v>
      </c>
      <c r="D47" s="8">
        <f>'Results Workspace'!F288</f>
        <v>4.9075743460789155E-2</v>
      </c>
      <c r="E47" s="9">
        <f t="shared" ref="E47:E63" si="5">D47/C47</f>
        <v>1.6036855511242876E-3</v>
      </c>
      <c r="F47" s="8">
        <f t="shared" si="4"/>
        <v>0.37694667334351306</v>
      </c>
      <c r="G47" s="8">
        <f>F47/'Housekeeper summary'!$E$4</f>
        <v>0.7112201383839869</v>
      </c>
    </row>
    <row r="48" spans="2:7" x14ac:dyDescent="0.2">
      <c r="B48" t="str">
        <f>'Results Workspace'!D291</f>
        <v>0.4.a</v>
      </c>
      <c r="C48" s="8">
        <f>'Results Workspace'!E291</f>
        <v>29.439935684204102</v>
      </c>
      <c r="D48" s="8">
        <f>'Results Workspace'!F291</f>
        <v>0.10459894949635697</v>
      </c>
      <c r="E48" s="9">
        <f t="shared" si="5"/>
        <v>3.5529612095069616E-3</v>
      </c>
      <c r="F48" s="8">
        <f t="shared" si="4"/>
        <v>0.78732249398736331</v>
      </c>
      <c r="G48" s="8">
        <f>F48/'Housekeeper summary'!$E$4</f>
        <v>1.4855141395987985</v>
      </c>
    </row>
    <row r="49" spans="2:7" x14ac:dyDescent="0.2">
      <c r="B49" t="str">
        <f>'Results Workspace'!D294</f>
        <v>0.5.a</v>
      </c>
      <c r="C49" s="8">
        <f>'Results Workspace'!E294</f>
        <v>29.838797569274902</v>
      </c>
      <c r="D49" s="8">
        <f>'Results Workspace'!F294</f>
        <v>0.12456417083740234</v>
      </c>
      <c r="E49" s="9">
        <f t="shared" si="5"/>
        <v>4.1745707261899336E-3</v>
      </c>
      <c r="F49" s="8">
        <f t="shared" si="4"/>
        <v>0.61142992242154826</v>
      </c>
      <c r="G49" s="8">
        <f>F49/'Housekeeper summary'!$E$4</f>
        <v>1.153641363059525</v>
      </c>
    </row>
    <row r="50" spans="2:7" x14ac:dyDescent="0.2">
      <c r="B50" t="str">
        <f>'Results Workspace'!D297</f>
        <v>0.6.a</v>
      </c>
      <c r="C50" s="8">
        <f>'Results Workspace'!E297</f>
        <v>29.796197891235352</v>
      </c>
      <c r="D50" s="8">
        <f>'Results Workspace'!F297</f>
        <v>0.11348743346810161</v>
      </c>
      <c r="E50" s="9">
        <f t="shared" si="5"/>
        <v>3.8087890905532046E-3</v>
      </c>
      <c r="F50" s="8">
        <f t="shared" si="4"/>
        <v>0.6281658241225252</v>
      </c>
      <c r="G50" s="8">
        <f>F50/'Housekeeper summary'!$E$4</f>
        <v>1.1852185360802361</v>
      </c>
    </row>
    <row r="51" spans="2:7" x14ac:dyDescent="0.2">
      <c r="B51" t="str">
        <f>'Results Workspace'!D300</f>
        <v>0.7.a</v>
      </c>
      <c r="C51" s="8" t="e">
        <f>'Results Workspace'!E300</f>
        <v>#DIV/0!</v>
      </c>
      <c r="D51" s="8" t="e">
        <f>'Results Workspace'!F300</f>
        <v>#DIV/0!</v>
      </c>
      <c r="E51" s="9" t="e">
        <f t="shared" si="5"/>
        <v>#DIV/0!</v>
      </c>
      <c r="F51" s="8" t="e">
        <f t="shared" si="4"/>
        <v>#DIV/0!</v>
      </c>
      <c r="G51" s="8" t="e">
        <f>F51/'Housekeeper summary'!$E$4</f>
        <v>#DIV/0!</v>
      </c>
    </row>
    <row r="52" spans="2:7" x14ac:dyDescent="0.2">
      <c r="B52" t="str">
        <f>'Results Workspace'!D303</f>
        <v>0.8.a</v>
      </c>
      <c r="C52" s="8">
        <f>'Results Workspace'!E303</f>
        <v>29.447966893513996</v>
      </c>
      <c r="D52" s="8">
        <f>'Results Workspace'!F303</f>
        <v>0.16350500192909342</v>
      </c>
      <c r="E52" s="9">
        <f t="shared" si="5"/>
        <v>5.5523358376603545E-3</v>
      </c>
      <c r="F52" s="8">
        <f t="shared" si="4"/>
        <v>0.78332444885918573</v>
      </c>
      <c r="G52" s="8">
        <f>F52/'Housekeeper summary'!$E$4</f>
        <v>1.4779706582248786</v>
      </c>
    </row>
    <row r="53" spans="2:7" x14ac:dyDescent="0.2">
      <c r="B53" t="str">
        <f>'Results Workspace'!D306</f>
        <v>0.9.a</v>
      </c>
      <c r="C53" s="8">
        <f>'Results Workspace'!E306</f>
        <v>29.523329416910808</v>
      </c>
      <c r="D53" s="8">
        <f>'Results Workspace'!F306</f>
        <v>0.17824481882060861</v>
      </c>
      <c r="E53" s="9">
        <f t="shared" si="5"/>
        <v>6.0374226871076032E-3</v>
      </c>
      <c r="F53" s="8">
        <f t="shared" si="4"/>
        <v>0.74678315397439743</v>
      </c>
      <c r="G53" s="8">
        <f>F53/'Housekeeper summary'!$E$4</f>
        <v>1.4090248188196177</v>
      </c>
    </row>
    <row r="54" spans="2:7" x14ac:dyDescent="0.2">
      <c r="B54" t="str">
        <f>'Results Workspace'!D309</f>
        <v>2.4.a</v>
      </c>
      <c r="C54" s="8">
        <f>'Results Workspace'!E309</f>
        <v>30.085556030273438</v>
      </c>
      <c r="D54" s="8">
        <f>'Results Workspace'!F309</f>
        <v>4.8312911529940446E-2</v>
      </c>
      <c r="E54" s="9">
        <f t="shared" si="5"/>
        <v>1.6058507105976643E-3</v>
      </c>
      <c r="F54" s="8">
        <f t="shared" si="4"/>
        <v>0.5228950385617801</v>
      </c>
      <c r="G54" s="8">
        <f>F54/'Housekeeper summary'!$E$4</f>
        <v>0.9865944123807171</v>
      </c>
    </row>
    <row r="55" spans="2:7" x14ac:dyDescent="0.2">
      <c r="B55" t="str">
        <f>'Results Workspace'!D312</f>
        <v>2.5.a</v>
      </c>
      <c r="C55" s="8">
        <f>'Results Workspace'!E312</f>
        <v>30.756221771240234</v>
      </c>
      <c r="D55" s="8">
        <f>'Results Workspace'!F312</f>
        <v>0.27130963840832417</v>
      </c>
      <c r="E55" s="9">
        <f t="shared" si="5"/>
        <v>8.8212928241407883E-3</v>
      </c>
      <c r="F55" s="8">
        <f t="shared" si="4"/>
        <v>0.34180737559050955</v>
      </c>
      <c r="G55" s="8">
        <f>F55/'Housekeeper summary'!$E$4</f>
        <v>0.64491957658586707</v>
      </c>
    </row>
    <row r="56" spans="2:7" x14ac:dyDescent="0.2">
      <c r="B56" t="str">
        <f>'Results Workspace'!D315</f>
        <v>2.6.a</v>
      </c>
      <c r="C56" s="8">
        <f>'Results Workspace'!E315</f>
        <v>29.818853378295898</v>
      </c>
      <c r="D56" s="8">
        <f>'Results Workspace'!F315</f>
        <v>0.11652100932475566</v>
      </c>
      <c r="E56" s="9">
        <f t="shared" si="5"/>
        <v>3.907628769172165E-3</v>
      </c>
      <c r="F56" s="8">
        <f t="shared" si="4"/>
        <v>0.61920904138258426</v>
      </c>
      <c r="G56" s="8">
        <f>F56/'Housekeeper summary'!$E$4</f>
        <v>1.168318946004876</v>
      </c>
    </row>
    <row r="57" spans="2:7" x14ac:dyDescent="0.2">
      <c r="B57" t="str">
        <f>'Results Workspace'!D318</f>
        <v>2.7.a</v>
      </c>
      <c r="C57" s="8">
        <f>'Results Workspace'!E318</f>
        <v>29.39821497599284</v>
      </c>
      <c r="D57" s="8">
        <f>'Results Workspace'!F318</f>
        <v>0.18828512813213308</v>
      </c>
      <c r="E57" s="9">
        <f t="shared" si="5"/>
        <v>6.4046449175873578E-3</v>
      </c>
      <c r="F57" s="8">
        <f t="shared" si="4"/>
        <v>0.80842232194190977</v>
      </c>
      <c r="G57" s="8">
        <f>F57/'Housekeeper summary'!$E$4</f>
        <v>1.5253251357394524</v>
      </c>
    </row>
    <row r="58" spans="2:7" x14ac:dyDescent="0.2">
      <c r="B58" t="str">
        <f>'Results Workspace'!D321</f>
        <v>2.8.a</v>
      </c>
      <c r="C58" s="8" t="e">
        <f>'Results Workspace'!E321</f>
        <v>#DIV/0!</v>
      </c>
      <c r="D58" s="8" t="e">
        <f>'Results Workspace'!F321</f>
        <v>#DIV/0!</v>
      </c>
      <c r="E58" s="9" t="e">
        <f t="shared" si="5"/>
        <v>#DIV/0!</v>
      </c>
      <c r="F58" s="8" t="e">
        <f t="shared" si="4"/>
        <v>#DIV/0!</v>
      </c>
      <c r="G58" s="8" t="e">
        <f>F58/'Housekeeper summary'!$E$4</f>
        <v>#DIV/0!</v>
      </c>
    </row>
    <row r="59" spans="2:7" x14ac:dyDescent="0.2">
      <c r="B59" t="str">
        <f>'Results Workspace'!D324</f>
        <v>2.9.a</v>
      </c>
      <c r="C59" s="8">
        <f>'Results Workspace'!E324</f>
        <v>30.434568405151367</v>
      </c>
      <c r="D59" s="8">
        <f>'Results Workspace'!F324</f>
        <v>4.711998360111213E-2</v>
      </c>
      <c r="E59" s="9">
        <f t="shared" si="5"/>
        <v>1.5482389292938547E-3</v>
      </c>
      <c r="F59" s="8">
        <f t="shared" si="4"/>
        <v>0.41911386868489964</v>
      </c>
      <c r="G59" s="8">
        <f>F59/'Housekeeper summary'!$E$4</f>
        <v>0.79078088431113136</v>
      </c>
    </row>
    <row r="60" spans="2:7" x14ac:dyDescent="0.2">
      <c r="B60" t="str">
        <f>'Results Workspace'!D327</f>
        <v>8.4.a</v>
      </c>
      <c r="C60" s="8" t="e">
        <f>'Results Workspace'!E327</f>
        <v>#DIV/0!</v>
      </c>
      <c r="D60" s="8" t="e">
        <f>'Results Workspace'!F327</f>
        <v>#DIV/0!</v>
      </c>
      <c r="E60" s="9" t="e">
        <f t="shared" si="5"/>
        <v>#DIV/0!</v>
      </c>
      <c r="F60" s="8" t="e">
        <f t="shared" si="4"/>
        <v>#DIV/0!</v>
      </c>
      <c r="G60" s="8" t="e">
        <f>F60/'Housekeeper summary'!$E$4</f>
        <v>#DIV/0!</v>
      </c>
    </row>
    <row r="61" spans="2:7" x14ac:dyDescent="0.2">
      <c r="B61" t="str">
        <f>'Results Workspace'!D330</f>
        <v>8.5.a</v>
      </c>
      <c r="C61" s="8">
        <f>'Results Workspace'!E330</f>
        <v>29.784991582234699</v>
      </c>
      <c r="D61" s="8">
        <f>'Results Workspace'!F330</f>
        <v>7.3821396086061669E-2</v>
      </c>
      <c r="E61" s="9">
        <f t="shared" si="5"/>
        <v>2.4784763118782462E-3</v>
      </c>
      <c r="F61" s="8">
        <f t="shared" si="4"/>
        <v>0.63264398258469445</v>
      </c>
      <c r="G61" s="8">
        <f>F61/'Housekeeper summary'!$E$4</f>
        <v>1.1936678916692347</v>
      </c>
    </row>
    <row r="62" spans="2:7" x14ac:dyDescent="0.2">
      <c r="B62" t="str">
        <f>'Results Workspace'!D333</f>
        <v>8.6.a</v>
      </c>
      <c r="C62" s="8">
        <f>'Results Workspace'!E333</f>
        <v>29.465534845987957</v>
      </c>
      <c r="D62" s="8">
        <f>'Results Workspace'!F333</f>
        <v>6.486351350516785E-2</v>
      </c>
      <c r="E62" s="9">
        <f t="shared" si="5"/>
        <v>2.2013350120471242E-3</v>
      </c>
      <c r="F62" s="8">
        <f t="shared" si="4"/>
        <v>0.77464951907297452</v>
      </c>
      <c r="G62" s="8">
        <f>F62/'Housekeeper summary'!$E$4</f>
        <v>1.4616028661754235</v>
      </c>
    </row>
    <row r="63" spans="2:7" x14ac:dyDescent="0.2">
      <c r="B63" t="str">
        <f>'Results Workspace'!D336</f>
        <v>8.7.a</v>
      </c>
      <c r="C63" s="8">
        <f>'Results Workspace'!E336</f>
        <v>30.055209477742512</v>
      </c>
      <c r="D63" s="8">
        <f>'Results Workspace'!F336</f>
        <v>0.15005724873528589</v>
      </c>
      <c r="E63" s="9">
        <f t="shared" si="5"/>
        <v>4.9927201088520541E-3</v>
      </c>
      <c r="F63" s="8">
        <f t="shared" si="4"/>
        <v>0.53305113607128662</v>
      </c>
      <c r="G63" s="8">
        <f>F63/'Housekeeper summary'!$E$4</f>
        <v>1.0057568605118614</v>
      </c>
    </row>
    <row r="64" spans="2:7" x14ac:dyDescent="0.2">
      <c r="B64" t="str">
        <f>'Results Workspace'!D339</f>
        <v>8.8.a</v>
      </c>
      <c r="C64" s="8">
        <f>'Results Workspace'!E339</f>
        <v>29.824019749959309</v>
      </c>
      <c r="D64" s="8">
        <f>'Results Workspace'!F339</f>
        <v>7.9623744995740431E-2</v>
      </c>
      <c r="E64" s="8">
        <f>'Results Workspace'!G193</f>
        <v>0</v>
      </c>
      <c r="F64" s="8">
        <f t="shared" si="4"/>
        <v>0.61718447934142451</v>
      </c>
      <c r="G64" s="8">
        <f>F64/'Housekeeper summary'!$E$4</f>
        <v>1.1644990176253291</v>
      </c>
    </row>
    <row r="65" spans="2:7" x14ac:dyDescent="0.2">
      <c r="B65" t="str">
        <f>'Results Workspace'!D342</f>
        <v>8.9.a</v>
      </c>
      <c r="C65" s="8">
        <f>'Results Workspace'!E342</f>
        <v>30.53379185994466</v>
      </c>
      <c r="D65" s="8">
        <f>'Results Workspace'!F342</f>
        <v>0.10781985367442097</v>
      </c>
      <c r="E65" s="8">
        <f>'Results Workspace'!G194</f>
        <v>0</v>
      </c>
      <c r="F65" s="8">
        <f t="shared" si="4"/>
        <v>0.39356456614925345</v>
      </c>
      <c r="G65" s="8">
        <f>F65/'Housekeeper summary'!$E$4</f>
        <v>0.74257465311179893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43"/>
  <sheetViews>
    <sheetView workbookViewId="0">
      <selection activeCell="H13" sqref="H13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4" t="s">
        <v>458</v>
      </c>
      <c r="C3" s="14" t="s">
        <v>459</v>
      </c>
      <c r="D3" s="14" t="s">
        <v>460</v>
      </c>
      <c r="E3" s="14" t="s">
        <v>454</v>
      </c>
    </row>
    <row r="4" spans="1:5" x14ac:dyDescent="0.2">
      <c r="A4" t="s">
        <v>461</v>
      </c>
      <c r="B4" s="8">
        <v>0.51</v>
      </c>
      <c r="C4" s="8">
        <v>0.56000000000000005</v>
      </c>
      <c r="D4" s="8">
        <v>0.52</v>
      </c>
      <c r="E4" s="15">
        <v>0.53</v>
      </c>
    </row>
    <row r="5" spans="1:5" x14ac:dyDescent="0.2">
      <c r="A5" t="s">
        <v>464</v>
      </c>
      <c r="B5" s="8">
        <v>0.46</v>
      </c>
      <c r="C5" s="8">
        <v>0.53</v>
      </c>
      <c r="D5" s="8">
        <v>0.42</v>
      </c>
      <c r="E5" s="15">
        <v>0.47</v>
      </c>
    </row>
    <row r="6" spans="1:5" x14ac:dyDescent="0.2">
      <c r="A6" t="s">
        <v>467</v>
      </c>
      <c r="B6" s="8">
        <v>0.49</v>
      </c>
      <c r="C6" s="8">
        <v>0.59</v>
      </c>
      <c r="D6" s="8">
        <v>0.5</v>
      </c>
      <c r="E6" s="15">
        <v>0.52</v>
      </c>
    </row>
    <row r="7" spans="1:5" x14ac:dyDescent="0.2">
      <c r="A7" t="s">
        <v>470</v>
      </c>
      <c r="B7" s="8">
        <v>0.52</v>
      </c>
      <c r="C7" s="8">
        <v>0.51</v>
      </c>
      <c r="D7" s="8">
        <v>0.5</v>
      </c>
      <c r="E7" s="15">
        <v>0.51</v>
      </c>
    </row>
    <row r="8" spans="1:5" x14ac:dyDescent="0.2">
      <c r="A8" t="s">
        <v>473</v>
      </c>
      <c r="B8" s="8">
        <v>0.43</v>
      </c>
      <c r="C8" s="8">
        <v>0.62</v>
      </c>
      <c r="D8" s="8">
        <v>0.41</v>
      </c>
      <c r="E8" s="15">
        <v>0.48</v>
      </c>
    </row>
    <row r="9" spans="1:5" x14ac:dyDescent="0.2">
      <c r="A9" t="s">
        <v>476</v>
      </c>
      <c r="B9" s="8">
        <v>0.5</v>
      </c>
      <c r="C9" s="8">
        <v>1.02</v>
      </c>
      <c r="D9" s="8">
        <v>0.57999999999999996</v>
      </c>
      <c r="E9" s="15">
        <v>0.67</v>
      </c>
    </row>
    <row r="10" spans="1:5" x14ac:dyDescent="0.2">
      <c r="A10" t="s">
        <v>479</v>
      </c>
      <c r="B10" s="8">
        <v>0.44</v>
      </c>
      <c r="C10" s="8">
        <v>0.59</v>
      </c>
      <c r="D10" s="8">
        <v>0.4</v>
      </c>
      <c r="E10" s="15">
        <v>0.47</v>
      </c>
    </row>
    <row r="11" spans="1:5" x14ac:dyDescent="0.2">
      <c r="A11" t="s">
        <v>482</v>
      </c>
      <c r="B11" s="8">
        <v>0.41</v>
      </c>
      <c r="C11" s="8">
        <v>0.47</v>
      </c>
      <c r="D11" s="8">
        <v>0.41</v>
      </c>
      <c r="E11" s="15">
        <v>0.43</v>
      </c>
    </row>
    <row r="12" spans="1:5" x14ac:dyDescent="0.2">
      <c r="A12" t="s">
        <v>485</v>
      </c>
      <c r="B12" s="8">
        <v>0.55000000000000004</v>
      </c>
      <c r="C12" s="8">
        <v>0.73</v>
      </c>
      <c r="D12" s="8">
        <v>0.52</v>
      </c>
      <c r="E12" s="15">
        <v>0.6</v>
      </c>
    </row>
    <row r="13" spans="1:5" x14ac:dyDescent="0.2">
      <c r="A13" t="s">
        <v>488</v>
      </c>
      <c r="B13" s="8">
        <v>0.63</v>
      </c>
      <c r="C13" s="8">
        <v>0.54</v>
      </c>
      <c r="D13" s="8">
        <v>0.55000000000000004</v>
      </c>
      <c r="E13" s="15">
        <v>0.56999999999999995</v>
      </c>
    </row>
    <row r="14" spans="1:5" x14ac:dyDescent="0.2">
      <c r="A14" t="s">
        <v>491</v>
      </c>
      <c r="B14" s="8">
        <v>0.48</v>
      </c>
      <c r="C14" s="8">
        <v>0.45</v>
      </c>
      <c r="D14" s="8">
        <v>0.47</v>
      </c>
      <c r="E14" s="15">
        <v>0.46</v>
      </c>
    </row>
    <row r="15" spans="1:5" x14ac:dyDescent="0.2">
      <c r="A15" t="s">
        <v>494</v>
      </c>
      <c r="B15" s="8">
        <v>0.45</v>
      </c>
      <c r="C15" s="8">
        <v>0.49</v>
      </c>
      <c r="D15" s="8">
        <v>0.42</v>
      </c>
      <c r="E15" s="15">
        <v>0.45</v>
      </c>
    </row>
    <row r="16" spans="1:5" x14ac:dyDescent="0.2">
      <c r="A16" t="s">
        <v>497</v>
      </c>
      <c r="B16" s="8"/>
      <c r="C16" s="8"/>
      <c r="D16" s="8"/>
      <c r="E16" s="15"/>
    </row>
    <row r="17" spans="1:5" x14ac:dyDescent="0.2">
      <c r="A17" t="s">
        <v>500</v>
      </c>
      <c r="B17" s="8">
        <v>0.44</v>
      </c>
      <c r="C17" s="8">
        <v>0.79</v>
      </c>
      <c r="D17" s="8">
        <v>0.64</v>
      </c>
      <c r="E17" s="15">
        <v>0.6</v>
      </c>
    </row>
    <row r="18" spans="1:5" x14ac:dyDescent="0.2">
      <c r="A18" t="s">
        <v>503</v>
      </c>
      <c r="B18" s="8">
        <v>0.56999999999999995</v>
      </c>
      <c r="C18" s="8">
        <v>0.57999999999999996</v>
      </c>
      <c r="D18" s="8">
        <v>0.65</v>
      </c>
      <c r="E18" s="15">
        <v>0.6</v>
      </c>
    </row>
    <row r="19" spans="1:5" x14ac:dyDescent="0.2">
      <c r="A19" t="s">
        <v>506</v>
      </c>
      <c r="B19" s="8">
        <v>0.4</v>
      </c>
      <c r="C19" s="8">
        <v>0.44</v>
      </c>
      <c r="D19" s="8">
        <v>0.39</v>
      </c>
      <c r="E19" s="15">
        <v>0.41</v>
      </c>
    </row>
    <row r="20" spans="1:5" x14ac:dyDescent="0.2">
      <c r="A20" t="s">
        <v>509</v>
      </c>
      <c r="B20" s="8"/>
      <c r="C20" s="8"/>
      <c r="D20" s="8"/>
      <c r="E20" s="15"/>
    </row>
    <row r="21" spans="1:5" x14ac:dyDescent="0.2">
      <c r="A21" t="s">
        <v>512</v>
      </c>
      <c r="B21" s="8">
        <v>0.44</v>
      </c>
      <c r="C21" s="8">
        <v>0.42</v>
      </c>
      <c r="D21" s="8">
        <v>0.38</v>
      </c>
      <c r="E21" s="15">
        <v>0.41</v>
      </c>
    </row>
    <row r="22" spans="1:5" x14ac:dyDescent="0.2">
      <c r="A22" t="s">
        <v>515</v>
      </c>
      <c r="B22" s="8">
        <v>0.73</v>
      </c>
      <c r="C22" s="8">
        <v>0.55000000000000004</v>
      </c>
      <c r="D22" s="8">
        <v>0.76</v>
      </c>
      <c r="E22" s="15">
        <v>0.67</v>
      </c>
    </row>
    <row r="23" spans="1:5" x14ac:dyDescent="0.2">
      <c r="A23" t="s">
        <v>518</v>
      </c>
      <c r="B23" s="8"/>
      <c r="C23" s="8"/>
      <c r="D23" s="8"/>
      <c r="E23" s="15"/>
    </row>
    <row r="24" spans="1:5" x14ac:dyDescent="0.2">
      <c r="A24" t="s">
        <v>521</v>
      </c>
      <c r="B24" s="8">
        <v>0.55000000000000004</v>
      </c>
      <c r="C24" s="8">
        <v>0.5</v>
      </c>
      <c r="D24" s="8">
        <v>0.44</v>
      </c>
      <c r="E24" s="15">
        <v>0.49</v>
      </c>
    </row>
    <row r="25" spans="1:5" x14ac:dyDescent="0.2">
      <c r="A25" t="s">
        <v>524</v>
      </c>
      <c r="B25" s="8"/>
      <c r="C25" s="8"/>
      <c r="D25" s="8"/>
      <c r="E25" s="15"/>
    </row>
    <row r="26" spans="1:5" x14ac:dyDescent="0.2">
      <c r="A26" t="s">
        <v>527</v>
      </c>
      <c r="B26" s="8">
        <v>0.56000000000000005</v>
      </c>
      <c r="C26" s="8">
        <v>0.49</v>
      </c>
      <c r="D26" s="8">
        <v>0.56000000000000005</v>
      </c>
      <c r="E26" s="15">
        <v>0.54</v>
      </c>
    </row>
    <row r="27" spans="1:5" x14ac:dyDescent="0.2">
      <c r="A27" t="s">
        <v>530</v>
      </c>
      <c r="B27" s="8">
        <v>0.6</v>
      </c>
      <c r="C27" s="8">
        <v>0.6</v>
      </c>
      <c r="D27" s="8">
        <v>0.62</v>
      </c>
      <c r="E27" s="15">
        <v>0.6</v>
      </c>
    </row>
    <row r="28" spans="1:5" x14ac:dyDescent="0.2">
      <c r="A28" t="s">
        <v>533</v>
      </c>
      <c r="B28" s="8">
        <v>0.51</v>
      </c>
      <c r="C28" s="8">
        <v>0.72</v>
      </c>
      <c r="D28" s="8">
        <v>0.5</v>
      </c>
      <c r="E28" s="15">
        <v>0.56000000000000005</v>
      </c>
    </row>
    <row r="29" spans="1:5" x14ac:dyDescent="0.2">
      <c r="A29" t="s">
        <v>536</v>
      </c>
      <c r="B29" s="8">
        <v>0.51</v>
      </c>
      <c r="C29" s="8">
        <v>0.86</v>
      </c>
      <c r="D29" s="8">
        <v>0.56999999999999995</v>
      </c>
      <c r="E29" s="15">
        <v>0.63</v>
      </c>
    </row>
    <row r="30" spans="1:5" x14ac:dyDescent="0.2">
      <c r="A30" t="s">
        <v>539</v>
      </c>
      <c r="B30" s="8">
        <v>0.38</v>
      </c>
      <c r="C30" s="8">
        <v>0.49</v>
      </c>
      <c r="D30" s="8">
        <v>0.42</v>
      </c>
      <c r="E30" s="15">
        <v>0.43</v>
      </c>
    </row>
    <row r="31" spans="1:5" x14ac:dyDescent="0.2">
      <c r="B31" s="8"/>
      <c r="C31" s="8"/>
      <c r="D31" s="8"/>
      <c r="E31" s="15"/>
    </row>
    <row r="32" spans="1:5" x14ac:dyDescent="0.2">
      <c r="B32" s="8"/>
      <c r="C32" s="8"/>
      <c r="D32" s="8"/>
      <c r="E32" s="15"/>
    </row>
    <row r="33" spans="2:5" x14ac:dyDescent="0.2">
      <c r="B33" s="8"/>
      <c r="C33" s="8"/>
      <c r="D33" s="8"/>
      <c r="E33" s="15"/>
    </row>
    <row r="34" spans="2:5" x14ac:dyDescent="0.2">
      <c r="B34" s="8"/>
      <c r="C34" s="8"/>
      <c r="D34" s="8"/>
      <c r="E34" s="15"/>
    </row>
    <row r="35" spans="2:5" x14ac:dyDescent="0.2">
      <c r="B35" s="8"/>
      <c r="C35" s="8"/>
      <c r="D35" s="8"/>
      <c r="E35" s="15"/>
    </row>
    <row r="36" spans="2:5" x14ac:dyDescent="0.2">
      <c r="B36" s="8"/>
      <c r="C36" s="8"/>
      <c r="D36" s="8"/>
      <c r="E36" s="15"/>
    </row>
    <row r="37" spans="2:5" x14ac:dyDescent="0.2">
      <c r="B37" s="8"/>
      <c r="C37" s="8"/>
      <c r="D37" s="8"/>
      <c r="E37" s="15"/>
    </row>
    <row r="38" spans="2:5" x14ac:dyDescent="0.2">
      <c r="B38" s="8"/>
      <c r="C38" s="8"/>
      <c r="D38" s="8"/>
      <c r="E38" s="15"/>
    </row>
    <row r="39" spans="2:5" x14ac:dyDescent="0.2">
      <c r="B39" s="8"/>
      <c r="C39" s="8"/>
      <c r="D39" s="8"/>
      <c r="E39" s="15"/>
    </row>
    <row r="40" spans="2:5" x14ac:dyDescent="0.2">
      <c r="B40" s="8"/>
      <c r="C40" s="8"/>
      <c r="D40" s="8"/>
      <c r="E40" s="15"/>
    </row>
    <row r="41" spans="2:5" x14ac:dyDescent="0.2">
      <c r="B41" s="8"/>
      <c r="C41" s="8"/>
      <c r="D41" s="8"/>
      <c r="E41" s="15"/>
    </row>
    <row r="42" spans="2:5" x14ac:dyDescent="0.2">
      <c r="B42" s="8"/>
      <c r="C42" s="8"/>
      <c r="D42" s="8"/>
      <c r="E42" s="15"/>
    </row>
    <row r="43" spans="2:5" x14ac:dyDescent="0.2">
      <c r="B43" s="8"/>
      <c r="C43" s="8"/>
      <c r="D43" s="8"/>
      <c r="E43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NLRP3</vt:lpstr>
      <vt:lpstr>NFKB1</vt:lpstr>
      <vt:lpstr>FOXO1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2021-11-05T14:24:27Z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