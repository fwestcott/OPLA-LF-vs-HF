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qPCR/"/>
    </mc:Choice>
  </mc:AlternateContent>
  <xr:revisionPtr revIDLastSave="88" documentId="8_{1B0C598B-3C15-4727-BCD6-83BC4859914F}" xr6:coauthVersionLast="47" xr6:coauthVersionMax="47" xr10:uidLastSave="{1E9B1DF6-82EF-40BA-8978-210C55AD47B5}"/>
  <bookViews>
    <workbookView xWindow="-120" yWindow="-120" windowWidth="29040" windowHeight="15840" activeTab="5" xr2:uid="{00000000-000D-0000-FFFF-FFFF00000000}"/>
  </bookViews>
  <sheets>
    <sheet name="Exported Results" sheetId="1" r:id="rId1"/>
    <sheet name="Results Workspace" sheetId="2" r:id="rId2"/>
    <sheet name="ATG5" sheetId="4" r:id="rId3"/>
    <sheet name="ATG7" sheetId="5" r:id="rId4"/>
    <sheet name="ATG10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5" i="2" l="1"/>
  <c r="C326" i="2"/>
  <c r="C210" i="2"/>
  <c r="C211" i="2"/>
  <c r="C212" i="2"/>
  <c r="C177" i="2"/>
  <c r="C178" i="2"/>
  <c r="C179" i="2"/>
  <c r="C180" i="2"/>
  <c r="C181" i="2"/>
  <c r="C182" i="2"/>
  <c r="C184" i="2"/>
  <c r="C185" i="2"/>
  <c r="C186" i="2"/>
  <c r="C187" i="2"/>
  <c r="C188" i="2"/>
  <c r="C125" i="2"/>
  <c r="C126" i="2"/>
  <c r="C127" i="2"/>
  <c r="C128" i="2"/>
  <c r="C90" i="2"/>
  <c r="C91" i="2"/>
  <c r="C92" i="2"/>
  <c r="C93" i="2"/>
  <c r="C94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0" i="2"/>
  <c r="C21" i="2"/>
  <c r="C22" i="2"/>
  <c r="C23" i="2"/>
  <c r="C24" i="2"/>
  <c r="C25" i="2"/>
  <c r="C26" i="2"/>
  <c r="C27" i="2"/>
  <c r="C28" i="2"/>
  <c r="C29" i="2"/>
  <c r="C30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B39" i="9" s="1"/>
  <c r="D265" i="2"/>
  <c r="D266" i="2"/>
  <c r="D267" i="2"/>
  <c r="B40" i="9" s="1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B47" i="9" s="1"/>
  <c r="D289" i="2"/>
  <c r="D290" i="2"/>
  <c r="D291" i="2"/>
  <c r="B48" i="9" s="1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32" i="9" s="1"/>
  <c r="B244" i="2"/>
  <c r="B245" i="2"/>
  <c r="B246" i="2"/>
  <c r="B247" i="2"/>
  <c r="B248" i="2"/>
  <c r="B249" i="2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B257" i="2"/>
  <c r="B258" i="2"/>
  <c r="B259" i="2"/>
  <c r="B260" i="2"/>
  <c r="B261" i="2"/>
  <c r="B262" i="2"/>
  <c r="B263" i="2"/>
  <c r="B264" i="2"/>
  <c r="B265" i="2"/>
  <c r="B266" i="2"/>
  <c r="C266" i="2" s="1"/>
  <c r="B267" i="2"/>
  <c r="B268" i="2"/>
  <c r="B269" i="2"/>
  <c r="B270" i="2"/>
  <c r="B271" i="2"/>
  <c r="B272" i="2"/>
  <c r="C272" i="2" s="1"/>
  <c r="B273" i="2"/>
  <c r="B274" i="2"/>
  <c r="B275" i="2"/>
  <c r="C275" i="2" s="1"/>
  <c r="B276" i="2"/>
  <c r="C276" i="2" s="1"/>
  <c r="B277" i="2"/>
  <c r="C277" i="2" s="1"/>
  <c r="B278" i="2"/>
  <c r="C278" i="2" s="1"/>
  <c r="B279" i="2"/>
  <c r="B280" i="2"/>
  <c r="B281" i="2"/>
  <c r="B282" i="2"/>
  <c r="B283" i="2"/>
  <c r="B284" i="2"/>
  <c r="B285" i="2"/>
  <c r="B286" i="2"/>
  <c r="B287" i="2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C324" i="2" s="1"/>
  <c r="B325" i="2"/>
  <c r="B326" i="2"/>
  <c r="B327" i="2"/>
  <c r="B328" i="2"/>
  <c r="B329" i="2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D136" i="2"/>
  <c r="D137" i="2"/>
  <c r="D138" i="2"/>
  <c r="D139" i="2"/>
  <c r="D140" i="2"/>
  <c r="D141" i="2"/>
  <c r="D142" i="2"/>
  <c r="D143" i="2"/>
  <c r="D144" i="2"/>
  <c r="B39" i="5" s="1"/>
  <c r="D145" i="2"/>
  <c r="D146" i="2"/>
  <c r="D147" i="2"/>
  <c r="B40" i="5" s="1"/>
  <c r="D148" i="2"/>
  <c r="D149" i="2"/>
  <c r="D150" i="2"/>
  <c r="D151" i="2"/>
  <c r="D152" i="2"/>
  <c r="D153" i="2"/>
  <c r="B42" i="5" s="1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B47" i="5" s="1"/>
  <c r="D169" i="2"/>
  <c r="D170" i="2"/>
  <c r="D171" i="2"/>
  <c r="B48" i="5" s="1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B56" i="5" s="1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D208" i="2"/>
  <c r="D209" i="2"/>
  <c r="D210" i="2"/>
  <c r="D211" i="2"/>
  <c r="D212" i="2"/>
  <c r="D213" i="2"/>
  <c r="B62" i="5" s="1"/>
  <c r="D214" i="2"/>
  <c r="D215" i="2"/>
  <c r="D216" i="2"/>
  <c r="B63" i="5" s="1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C124" i="2" s="1"/>
  <c r="B125" i="2"/>
  <c r="B126" i="2"/>
  <c r="B127" i="2"/>
  <c r="B128" i="2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C156" i="2" s="1"/>
  <c r="B157" i="2"/>
  <c r="C157" i="2" s="1"/>
  <c r="B158" i="2"/>
  <c r="C158" i="2" s="1"/>
  <c r="B159" i="2"/>
  <c r="C159" i="2" s="1"/>
  <c r="B160" i="2"/>
  <c r="B161" i="2"/>
  <c r="B162" i="2"/>
  <c r="B163" i="2"/>
  <c r="B164" i="2"/>
  <c r="B165" i="2"/>
  <c r="B166" i="2"/>
  <c r="B167" i="2"/>
  <c r="B168" i="2"/>
  <c r="B169" i="2"/>
  <c r="C169" i="2" s="1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B202" i="2"/>
  <c r="B203" i="2"/>
  <c r="B204" i="2"/>
  <c r="C204" i="2" s="1"/>
  <c r="B205" i="2"/>
  <c r="C205" i="2" s="1"/>
  <c r="B206" i="2"/>
  <c r="C206" i="2" s="1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B5" i="2"/>
  <c r="B6" i="2"/>
  <c r="B7" i="2"/>
  <c r="C7" i="2" s="1"/>
  <c r="B8" i="2"/>
  <c r="C8" i="2" s="1"/>
  <c r="B9" i="2"/>
  <c r="C9" i="2" s="1"/>
  <c r="B10" i="2"/>
  <c r="B11" i="2"/>
  <c r="C11" i="2" s="1"/>
  <c r="B12" i="2"/>
  <c r="C12" i="2" s="1"/>
  <c r="B13" i="2"/>
  <c r="B14" i="2"/>
  <c r="B15" i="2"/>
  <c r="C15" i="2" s="1"/>
  <c r="B16" i="2"/>
  <c r="C16" i="2" s="1"/>
  <c r="B17" i="2"/>
  <c r="C17" i="2" s="1"/>
  <c r="B18" i="2"/>
  <c r="C18" i="2" s="1"/>
  <c r="B19" i="2"/>
  <c r="C19" i="2" s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32" i="2" s="1"/>
  <c r="B33" i="2"/>
  <c r="C33" i="2" s="1"/>
  <c r="B34" i="2"/>
  <c r="B35" i="2"/>
  <c r="C35" i="2" s="1"/>
  <c r="B36" i="2"/>
  <c r="C36" i="2" s="1"/>
  <c r="B37" i="2"/>
  <c r="B38" i="2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B82" i="2"/>
  <c r="B83" i="2"/>
  <c r="B84" i="2"/>
  <c r="C84" i="2" s="1"/>
  <c r="B85" i="2"/>
  <c r="C85" i="2" s="1"/>
  <c r="B86" i="2"/>
  <c r="C86" i="2" s="1"/>
  <c r="B87" i="2"/>
  <c r="B88" i="2"/>
  <c r="B89" i="2"/>
  <c r="B90" i="2"/>
  <c r="B91" i="2"/>
  <c r="B92" i="2"/>
  <c r="B93" i="2"/>
  <c r="B94" i="2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B118" i="2"/>
  <c r="C118" i="2" s="1"/>
  <c r="B119" i="2"/>
  <c r="C119" i="2" s="1"/>
  <c r="B120" i="2"/>
  <c r="C120" i="2" s="1"/>
  <c r="B121" i="2"/>
  <c r="C121" i="2" s="1"/>
  <c r="B122" i="2"/>
  <c r="C122" i="2" s="1"/>
  <c r="B3" i="2"/>
  <c r="C5" i="2"/>
  <c r="C6" i="2"/>
  <c r="C102" i="2"/>
  <c r="B33" i="5"/>
  <c r="B36" i="5"/>
  <c r="B41" i="5"/>
  <c r="B43" i="5"/>
  <c r="B44" i="5"/>
  <c r="B45" i="5"/>
  <c r="B60" i="5"/>
  <c r="B65" i="5"/>
  <c r="C10" i="2"/>
  <c r="C13" i="2"/>
  <c r="C14" i="2"/>
  <c r="C31" i="2"/>
  <c r="C34" i="2"/>
  <c r="C37" i="2"/>
  <c r="C38" i="2"/>
  <c r="C109" i="2"/>
  <c r="C117" i="2"/>
  <c r="B49" i="9"/>
  <c r="B46" i="9"/>
  <c r="B45" i="9"/>
  <c r="B44" i="9"/>
  <c r="B43" i="9"/>
  <c r="B42" i="9"/>
  <c r="B41" i="9"/>
  <c r="B38" i="9"/>
  <c r="A7" i="9" s="1"/>
  <c r="B37" i="9"/>
  <c r="A6" i="9" s="1"/>
  <c r="B36" i="9"/>
  <c r="A5" i="9" s="1"/>
  <c r="B35" i="9"/>
  <c r="A4" i="9" s="1"/>
  <c r="B34" i="9"/>
  <c r="A3" i="9" s="1"/>
  <c r="B33" i="9"/>
  <c r="A2" i="9" s="1"/>
  <c r="E65" i="9"/>
  <c r="E64" i="9"/>
  <c r="F7" i="9"/>
  <c r="F6" i="9"/>
  <c r="F5" i="9"/>
  <c r="F4" i="9"/>
  <c r="F3" i="9"/>
  <c r="F2" i="9"/>
  <c r="E64" i="5"/>
  <c r="E65" i="5"/>
  <c r="B61" i="5"/>
  <c r="B54" i="5"/>
  <c r="B52" i="5"/>
  <c r="B49" i="5"/>
  <c r="B46" i="5"/>
  <c r="B38" i="5"/>
  <c r="B37" i="5"/>
  <c r="C340" i="2"/>
  <c r="C341" i="2"/>
  <c r="C287" i="2"/>
  <c r="C284" i="2"/>
  <c r="C281" i="2"/>
  <c r="C269" i="2"/>
  <c r="C263" i="2"/>
  <c r="C260" i="2"/>
  <c r="C257" i="2"/>
  <c r="C245" i="2"/>
  <c r="C242" i="2"/>
  <c r="C239" i="2"/>
  <c r="C218" i="2"/>
  <c r="B67" i="5" l="1"/>
  <c r="B51" i="5"/>
  <c r="B53" i="5"/>
  <c r="B64" i="5"/>
  <c r="B55" i="5"/>
  <c r="B57" i="5"/>
  <c r="E6" i="2"/>
  <c r="F6" i="2"/>
  <c r="C139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56" i="2"/>
  <c r="C258" i="2"/>
  <c r="C259" i="2"/>
  <c r="C261" i="2"/>
  <c r="C262" i="2"/>
  <c r="C264" i="2"/>
  <c r="C265" i="2"/>
  <c r="C267" i="2"/>
  <c r="C268" i="2"/>
  <c r="C270" i="2"/>
  <c r="C271" i="2"/>
  <c r="C273" i="2"/>
  <c r="C274" i="2"/>
  <c r="C279" i="2"/>
  <c r="C280" i="2"/>
  <c r="C282" i="2"/>
  <c r="C283" i="2"/>
  <c r="C285" i="2"/>
  <c r="C286" i="2"/>
  <c r="C288" i="2"/>
  <c r="C289" i="2"/>
  <c r="C291" i="2"/>
  <c r="C292" i="2"/>
  <c r="C293" i="2"/>
  <c r="C294" i="2"/>
  <c r="C295" i="2"/>
  <c r="C296" i="2"/>
  <c r="C297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9"/>
  <c r="D36" i="5"/>
  <c r="D50" i="5"/>
  <c r="C47" i="5"/>
  <c r="D40" i="5"/>
  <c r="C53" i="5"/>
  <c r="D47" i="5"/>
  <c r="C40" i="5"/>
  <c r="D53" i="5"/>
  <c r="C51" i="5"/>
  <c r="D57" i="5"/>
  <c r="C34" i="5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B3" i="5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43" i="5" l="1"/>
  <c r="E34" i="5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<sst xmlns="http://schemas.openxmlformats.org/spreadsheetml/2006/main" count="2029" uniqueCount="549">
  <si>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</si>
  <si>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</si>
  <si>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</si>
  <si>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</si>
  <si>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</si>
  <si>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</si>
  <si>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</si>
  <si>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</si>
  <si>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</si>
  <si>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</si>
  <si>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</si>
  <si>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</si>
  <si>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</si>
  <si>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</si>
  <si>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</si>
  <si>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</si>
  <si>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</si>
  <si>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</si>
  <si>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</si>
  <si>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</si>
  <si>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</si>
  <si>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</si>
  <si>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</si>
  <si>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</si>
  <si>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</si>
  <si>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</si>
  <si>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</si>
  <si>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</si>
  <si>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</si>
  <si>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</si>
  <si>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</si>
  <si>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</si>
  <si>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</si>
  <si>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</si>
  <si>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</si>
  <si>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</si>
  <si>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</si>
  <si>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</si>
  <si>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</si>
  <si>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</si>
  <si>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</si>
  <si>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</si>
  <si>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</si>
  <si>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</si>
  <si>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</si>
  <si>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</si>
  <si>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</si>
  <si>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</si>
  <si>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</si>
  <si>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</si>
  <si>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</si>
  <si>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</si>
  <si>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</si>
  <si>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</si>
  <si>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</si>
  <si>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</si>
  <si>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</si>
  <si>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</si>
  <si>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</si>
  <si>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</si>
  <si>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</si>
  <si>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</si>
  <si>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</si>
  <si>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</si>
  <si>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</si>
  <si>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</si>
  <si>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</si>
  <si>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</si>
  <si>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</si>
  <si>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</si>
  <si>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</si>
  <si>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</si>
  <si>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</si>
  <si>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</si>
  <si>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</si>
  <si>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</si>
  <si>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</si>
  <si>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</si>
  <si>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</si>
  <si>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</si>
  <si>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</si>
  <si>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</si>
  <si>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</si>
  <si>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</si>
  <si>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</si>
  <si>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</si>
  <si>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</si>
  <si>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</si>
  <si>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</si>
  <si>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</si>
  <si>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</si>
  <si>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</si>
  <si>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</si>
  <si>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</si>
  <si>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</si>
  <si>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</si>
  <si>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</si>
  <si>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</si>
  <si>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</si>
  <si>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</si>
  <si>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</si>
  <si>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</si>
  <si>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</si>
  <si>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</si>
  <si>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</si>
  <si>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</si>
  <si>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</si>
  <si>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</si>
  <si>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</si>
  <si>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</si>
  <si>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</si>
  <si>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</si>
  <si>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</si>
  <si>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</si>
  <si>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</si>
  <si>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</si>
  <si>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</si>
  <si>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</si>
  <si>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</si>
  <si>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</si>
  <si>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</si>
  <si>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</si>
  <si>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</si>
  <si>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</si>
  <si>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</si>
  <si>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</si>
  <si>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</si>
  <si>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</si>
  <si>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</si>
  <si>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</si>
  <si>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</si>
  <si>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</si>
  <si>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</si>
  <si>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</si>
  <si>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</si>
  <si>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</si>
  <si>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</si>
  <si>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</si>
  <si>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</si>
  <si>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</si>
  <si>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</si>
  <si>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</si>
  <si>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</si>
  <si>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</si>
  <si>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</si>
  <si>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</si>
  <si>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</si>
  <si>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</si>
  <si>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</si>
  <si>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</si>
  <si>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</si>
  <si>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</si>
  <si>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</si>
  <si>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</si>
  <si>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</si>
  <si>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</si>
  <si>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</si>
  <si>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</si>
  <si>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</si>
  <si>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</si>
  <si>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</si>
  <si>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</si>
  <si>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</si>
  <si>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</si>
  <si>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</si>
  <si>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</si>
  <si>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</si>
  <si>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</si>
  <si>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</si>
  <si>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</si>
  <si>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</si>
  <si>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</si>
  <si>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</si>
  <si>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</si>
  <si>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</si>
  <si>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</si>
  <si>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</si>
  <si>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</si>
  <si>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</si>
  <si>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</si>
  <si>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</si>
  <si>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</si>
  <si>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</si>
  <si>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</si>
  <si>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</si>
  <si>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</si>
  <si>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</si>
  <si>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</si>
  <si>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</si>
  <si>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</si>
  <si>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</si>
  <si>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</si>
  <si>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</si>
  <si>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</si>
  <si>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</si>
  <si>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</si>
  <si>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</si>
  <si>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</si>
  <si>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</si>
  <si>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</si>
  <si>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</si>
  <si>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</si>
  <si>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</si>
  <si>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</si>
  <si>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</si>
  <si>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</si>
  <si>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</si>
  <si>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</si>
  <si>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</si>
  <si>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</si>
  <si>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</si>
  <si>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</si>
  <si>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</si>
  <si>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</si>
  <si>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</si>
  <si>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</si>
  <si>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</si>
  <si>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</si>
  <si>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</si>
  <si>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</si>
  <si>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</si>
  <si>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</si>
  <si>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</si>
  <si>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</si>
  <si>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</si>
  <si>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</si>
  <si>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</si>
  <si>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</si>
  <si>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</si>
  <si>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</si>
  <si>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</si>
  <si>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</si>
  <si>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</si>
  <si>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</si>
  <si>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</si>
  <si>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</si>
  <si>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</si>
  <si>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</si>
  <si>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</si>
  <si>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</si>
  <si>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</si>
  <si>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</si>
  <si>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</si>
  <si>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</si>
  <si>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</si>
  <si>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</si>
  <si>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</si>
  <si>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</si>
  <si>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</si>
  <si>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</si>
  <si>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</si>
  <si>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</si>
  <si>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</si>
  <si>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</si>
  <si>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</si>
  <si>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</si>
  <si>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</si>
  <si>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</si>
  <si>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</si>
  <si>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</si>
  <si>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</si>
  <si>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</si>
  <si>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</si>
  <si>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</si>
  <si>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</si>
  <si>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</si>
  <si>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</si>
  <si>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</si>
  <si>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</si>
  <si>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</si>
  <si>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</si>
  <si>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</si>
  <si>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</si>
  <si>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</si>
  <si>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</si>
  <si>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</si>
  <si>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</si>
  <si>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</si>
  <si>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</si>
  <si>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</si>
  <si>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</si>
  <si>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</si>
  <si>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</si>
  <si>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</si>
  <si>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</si>
  <si>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</si>
  <si>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</si>
  <si>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</si>
  <si>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</si>
  <si>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</si>
  <si>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</si>
  <si>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</si>
  <si>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</si>
  <si>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</si>
  <si>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</si>
  <si>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</si>
  <si>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</si>
  <si>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</si>
  <si>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</si>
  <si>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</si>
  <si>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</si>
  <si>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</si>
  <si>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</si>
  <si>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</si>
  <si>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</si>
  <si>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</si>
  <si>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</si>
  <si>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</si>
  <si>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</si>
  <si>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</si>
  <si>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</si>
  <si>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</si>
  <si>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</si>
  <si>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</si>
  <si>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</si>
  <si>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</si>
  <si>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</si>
  <si>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</si>
  <si>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</si>
  <si>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</si>
  <si>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</si>
  <si>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</si>
  <si>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</si>
  <si>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</si>
  <si>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</si>
  <si>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</si>
  <si>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</si>
  <si>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</si>
  <si>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</si>
  <si>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</si>
  <si>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</si>
  <si>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</si>
  <si>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</si>
  <si>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</si>
  <si>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</si>
  <si>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</si>
  <si>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</si>
  <si>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</si>
  <si>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</si>
  <si>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</si>
  <si>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</si>
  <si>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</si>
  <si>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</si>
  <si>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</si>
  <si>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</si>
  <si>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</si>
  <si>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</si>
  <si>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</si>
  <si>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</si>
  <si>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</si>
  <si>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</si>
  <si>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</si>
  <si>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</si>
  <si>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</si>
  <si>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</si>
  <si>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</si>
  <si>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</si>
  <si>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</si>
  <si>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</si>
  <si>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</si>
  <si>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</si>
  <si>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</si>
  <si>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</si>
  <si>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</si>
  <si>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</si>
  <si>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</si>
  <si>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</si>
  <si>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</si>
  <si>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</si>
  <si>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</si>
  <si>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</si>
  <si>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</si>
  <si>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</si>
  <si>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</si>
  <si>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</si>
  <si>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</si>
  <si>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</si>
  <si>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</si>
  <si>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</si>
  <si>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</si>
  <si>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</si>
  <si>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</si>
  <si>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</si>
  <si>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</si>
  <si>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</si>
  <si>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</si>
  <si>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</si>
  <si>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</si>
  <si>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</si>
  <si>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</si>
  <si>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</si>
  <si>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</si>
  <si>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</si>
  <si>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</si>
  <si>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</si>
  <si>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</si>
  <si>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</si>
  <si>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</si>
  <si>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</si>
  <si>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</si>
  <si>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</si>
  <si>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</si>
  <si>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</si>
  <si>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</si>
  <si>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</si>
  <si>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</si>
  <si>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</si>
  <si>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</si>
  <si>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</si>
  <si>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</si>
  <si>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</si>
  <si>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</si>
  <si>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</si>
  <si>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</si>
  <si>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</si>
  <si>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</si>
  <si>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</si>
  <si>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</si>
  <si>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</si>
  <si>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</si>
  <si>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</si>
  <si>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</si>
  <si>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</si>
  <si>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</si>
  <si>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</si>
  <si>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</si>
  <si>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</si>
  <si>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</si>
  <si>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</si>
  <si>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</si>
  <si>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</si>
  <si>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</si>
  <si>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</si>
  <si>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</si>
  <si>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</si>
  <si>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</si>
  <si>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</si>
  <si>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</si>
  <si>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</si>
  <si>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</si>
  <si>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</si>
  <si>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</si>
  <si>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</si>
  <si>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</si>
  <si>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</si>
  <si>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</si>
  <si>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</si>
  <si>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</si>
  <si>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</si>
  <si>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</si>
  <si>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</si>
  <si>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</si>
  <si>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</si>
  <si>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</si>
  <si>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</si>
  <si>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</si>
  <si>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</si>
  <si>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</si>
  <si>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</si>
  <si>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</si>
  <si>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</si>
  <si>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0.1.a</t>
  </si>
  <si>
    <t>0.1.b</t>
  </si>
  <si>
    <t>0.1.c</t>
  </si>
  <si>
    <t>0.2.a</t>
  </si>
  <si>
    <t>0.2.b</t>
  </si>
  <si>
    <t>0.2.c</t>
  </si>
  <si>
    <t>0.3.a</t>
  </si>
  <si>
    <t>0.3.b</t>
  </si>
  <si>
    <t>0.3.c</t>
  </si>
  <si>
    <t>2.1.a</t>
  </si>
  <si>
    <t>2.1.b</t>
  </si>
  <si>
    <t>2.1.c</t>
  </si>
  <si>
    <t>2.2.a</t>
  </si>
  <si>
    <t>2.2.b</t>
  </si>
  <si>
    <t>2.2.c</t>
  </si>
  <si>
    <t>2.3.a</t>
  </si>
  <si>
    <t>2.3.b</t>
  </si>
  <si>
    <t>2.3.c</t>
  </si>
  <si>
    <t>8.1.a</t>
  </si>
  <si>
    <t>8.1.b</t>
  </si>
  <si>
    <t>8.1.c</t>
  </si>
  <si>
    <t>8.2.a</t>
  </si>
  <si>
    <t>8.2.b</t>
  </si>
  <si>
    <t>8.2.c</t>
  </si>
  <si>
    <t>8.3.a</t>
  </si>
  <si>
    <t>8.3.b</t>
  </si>
  <si>
    <t>8.3.c</t>
  </si>
  <si>
    <t>0.4.a</t>
  </si>
  <si>
    <t>0.4.b</t>
  </si>
  <si>
    <t>0.4.c</t>
  </si>
  <si>
    <t>0.5.a</t>
  </si>
  <si>
    <t>0.5.b</t>
  </si>
  <si>
    <t>0.5.c</t>
  </si>
  <si>
    <t>0.6.a</t>
  </si>
  <si>
    <t>0.6.b</t>
  </si>
  <si>
    <t>0.6.c</t>
  </si>
  <si>
    <t>0.7.a</t>
  </si>
  <si>
    <t>0.7.b</t>
  </si>
  <si>
    <t>0.7.c</t>
  </si>
  <si>
    <t>0.8.a</t>
  </si>
  <si>
    <t>0.8.b</t>
  </si>
  <si>
    <t>0.8.c</t>
  </si>
  <si>
    <t>0.9.a</t>
  </si>
  <si>
    <t>0.9.b</t>
  </si>
  <si>
    <t>0.9.c</t>
  </si>
  <si>
    <t>2.4.a</t>
  </si>
  <si>
    <t>2.4.b</t>
  </si>
  <si>
    <t>2.4.c</t>
  </si>
  <si>
    <t>2.5.a</t>
  </si>
  <si>
    <t>2.5.b</t>
  </si>
  <si>
    <t>2.5.c</t>
  </si>
  <si>
    <t>2.6.a</t>
  </si>
  <si>
    <t>2.6.b</t>
  </si>
  <si>
    <t>2.6.c</t>
  </si>
  <si>
    <t>2.7.a</t>
  </si>
  <si>
    <t>2.7.b</t>
  </si>
  <si>
    <t>2.7.c</t>
  </si>
  <si>
    <t>2.8.a</t>
  </si>
  <si>
    <t>2.8.b</t>
  </si>
  <si>
    <t>2.8.c</t>
  </si>
  <si>
    <t>2.9.a</t>
  </si>
  <si>
    <t>2.9.b</t>
  </si>
  <si>
    <t>2.9.c</t>
  </si>
  <si>
    <t>8.4.a</t>
  </si>
  <si>
    <t>8.4.b</t>
  </si>
  <si>
    <t>8.4.c</t>
  </si>
  <si>
    <t>8.5.a</t>
  </si>
  <si>
    <t>8.5.b</t>
  </si>
  <si>
    <t>8.5.c</t>
  </si>
  <si>
    <t>8.6.a</t>
  </si>
  <si>
    <t>8.6.b</t>
  </si>
  <si>
    <t>8.6.c</t>
  </si>
  <si>
    <t>8.7.a</t>
  </si>
  <si>
    <t>8.7.b</t>
  </si>
  <si>
    <t>8.7.c</t>
  </si>
  <si>
    <t>8.8.a</t>
  </si>
  <si>
    <t>8.8.b</t>
  </si>
  <si>
    <t>8.8.c</t>
  </si>
  <si>
    <t>8.9.a</t>
  </si>
  <si>
    <t>8.9.b</t>
  </si>
  <si>
    <t>8.9.c</t>
  </si>
  <si>
    <t>2021-11-04 12:00:27 PM GMT</t>
  </si>
  <si>
    <t>D:\Users\Administrator\Desktop\FELIX\Felix HF v LF 3.eds</t>
  </si>
  <si>
    <t>Felix HF v LF 3</t>
  </si>
  <si>
    <t>2021-11-04 12:52:13 PM GMT</t>
  </si>
  <si>
    <t>ATG5</t>
  </si>
  <si>
    <t>ATG7</t>
  </si>
  <si>
    <t>ATG10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</si>
</sst>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165" fontId="7" fillId="7" borderId="0" xfId="3" applyNumberFormat="1" applyFont="1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'ATG5'!$B$2:$B$7</c:f>
              <c:numCache>
                <c:formatCode>General</c:formatCode>
                <c:ptCount val="6"/>
                <c:pt idx="0">
                  <c:v>25.369516372680664</c:v>
                </c:pt>
                <c:pt idx="1">
                  <c:v>25.907526016235352</c:v>
                </c:pt>
                <c:pt idx="2">
                  <c:v>27.283505121866863</c:v>
                </c:pt>
                <c:pt idx="3">
                  <c:v>28.171829859415691</c:v>
                </c:pt>
                <c:pt idx="4">
                  <c:v>29.307207107543945</c:v>
                </c:pt>
                <c:pt idx="5">
                  <c:v>30.466386795043945</c:v>
                </c:pt>
              </c:numCache>
            </c:numRef>
          </c:xVal>
          <c:yVal>
            <c:numRef>
              <c:f>'ATG5'!$F$2:$F$7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'ATG7'!$B$2:$B$7</c:f>
              <c:numCache>
                <c:formatCode>General</c:formatCode>
                <c:ptCount val="6"/>
                <c:pt idx="0">
                  <c:v>26.394093831380207</c:v>
                </c:pt>
                <c:pt idx="1">
                  <c:v>27.180834452311199</c:v>
                </c:pt>
                <c:pt idx="2">
                  <c:v>28.20769437154134</c:v>
                </c:pt>
                <c:pt idx="3">
                  <c:v>29.255451202392578</c:v>
                </c:pt>
                <c:pt idx="4">
                  <c:v>30.396799723307293</c:v>
                </c:pt>
                <c:pt idx="5">
                  <c:v>31.583166122436523</c:v>
                </c:pt>
              </c:numCache>
            </c:numRef>
          </c:xVal>
          <c:yVal>
            <c:numRef>
              <c:f>'ATG7'!$F$2:$F$7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'ATG10'!$B$2:$B$7</c:f>
              <c:numCache>
                <c:formatCode>General</c:formatCode>
                <c:ptCount val="6"/>
                <c:pt idx="0">
                  <c:v>26.867812474568684</c:v>
                </c:pt>
                <c:pt idx="1">
                  <c:v>27.944015502929688</c:v>
                </c:pt>
                <c:pt idx="2">
                  <c:v>28.782270431518555</c:v>
                </c:pt>
                <c:pt idx="3">
                  <c:v>29.613500595092773</c:v>
                </c:pt>
                <c:pt idx="4">
                  <c:v>30.941668828328449</c:v>
                </c:pt>
                <c:pt idx="5">
                  <c:v>32.113107045491539</c:v>
                </c:pt>
              </c:numCache>
            </c:numRef>
          </c:xVal>
          <c:yVal>
            <c:numRef>
              <c:f>'ATG10'!$F$2:$F$7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0.51</c:v>
                </c:pt>
                <c:pt idx="1">
                  <c:v>0.46</c:v>
                </c:pt>
                <c:pt idx="2">
                  <c:v>0.49</c:v>
                </c:pt>
                <c:pt idx="3">
                  <c:v>0.52</c:v>
                </c:pt>
                <c:pt idx="4">
                  <c:v>0.43</c:v>
                </c:pt>
                <c:pt idx="5">
                  <c:v>0.5</c:v>
                </c:pt>
                <c:pt idx="6">
                  <c:v>0.44</c:v>
                </c:pt>
                <c:pt idx="7">
                  <c:v>0.41</c:v>
                </c:pt>
                <c:pt idx="8">
                  <c:v>0.55000000000000004</c:v>
                </c:pt>
                <c:pt idx="9">
                  <c:v>0.63</c:v>
                </c:pt>
                <c:pt idx="10">
                  <c:v>0.48</c:v>
                </c:pt>
                <c:pt idx="11">
                  <c:v>0.45</c:v>
                </c:pt>
                <c:pt idx="13">
                  <c:v>0.44</c:v>
                </c:pt>
                <c:pt idx="14">
                  <c:v>0.56999999999999995</c:v>
                </c:pt>
                <c:pt idx="15">
                  <c:v>0.4</c:v>
                </c:pt>
                <c:pt idx="17">
                  <c:v>0.44</c:v>
                </c:pt>
                <c:pt idx="18">
                  <c:v>0.73</c:v>
                </c:pt>
                <c:pt idx="20">
                  <c:v>0.55000000000000004</c:v>
                </c:pt>
                <c:pt idx="22">
                  <c:v>0.56000000000000005</c:v>
                </c:pt>
                <c:pt idx="23">
                  <c:v>0.6</c:v>
                </c:pt>
                <c:pt idx="24">
                  <c:v>0.51</c:v>
                </c:pt>
                <c:pt idx="25">
                  <c:v>0.51</c:v>
                </c:pt>
                <c:pt idx="2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0.56000000000000005</c:v>
                </c:pt>
                <c:pt idx="1">
                  <c:v>0.53</c:v>
                </c:pt>
                <c:pt idx="2">
                  <c:v>0.59</c:v>
                </c:pt>
                <c:pt idx="3">
                  <c:v>0.51</c:v>
                </c:pt>
                <c:pt idx="4">
                  <c:v>0.62</c:v>
                </c:pt>
                <c:pt idx="5">
                  <c:v>1.02</c:v>
                </c:pt>
                <c:pt idx="6">
                  <c:v>0.59</c:v>
                </c:pt>
                <c:pt idx="7">
                  <c:v>0.47</c:v>
                </c:pt>
                <c:pt idx="8">
                  <c:v>0.73</c:v>
                </c:pt>
                <c:pt idx="9">
                  <c:v>0.54</c:v>
                </c:pt>
                <c:pt idx="10">
                  <c:v>0.45</c:v>
                </c:pt>
                <c:pt idx="11">
                  <c:v>0.49</c:v>
                </c:pt>
                <c:pt idx="13">
                  <c:v>0.79</c:v>
                </c:pt>
                <c:pt idx="14">
                  <c:v>0.57999999999999996</c:v>
                </c:pt>
                <c:pt idx="15">
                  <c:v>0.44</c:v>
                </c:pt>
                <c:pt idx="17">
                  <c:v>0.42</c:v>
                </c:pt>
                <c:pt idx="18">
                  <c:v>0.55000000000000004</c:v>
                </c:pt>
                <c:pt idx="20">
                  <c:v>0.5</c:v>
                </c:pt>
                <c:pt idx="22">
                  <c:v>0.49</c:v>
                </c:pt>
                <c:pt idx="23">
                  <c:v>0.6</c:v>
                </c:pt>
                <c:pt idx="24">
                  <c:v>0.72</c:v>
                </c:pt>
                <c:pt idx="25">
                  <c:v>0.86</c:v>
                </c:pt>
                <c:pt idx="26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0.52</c:v>
                </c:pt>
                <c:pt idx="1">
                  <c:v>0.42</c:v>
                </c:pt>
                <c:pt idx="2">
                  <c:v>0.5</c:v>
                </c:pt>
                <c:pt idx="3">
                  <c:v>0.5</c:v>
                </c:pt>
                <c:pt idx="4">
                  <c:v>0.41</c:v>
                </c:pt>
                <c:pt idx="5">
                  <c:v>0.57999999999999996</c:v>
                </c:pt>
                <c:pt idx="6">
                  <c:v>0.4</c:v>
                </c:pt>
                <c:pt idx="7">
                  <c:v>0.41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0.42</c:v>
                </c:pt>
                <c:pt idx="13">
                  <c:v>0.64</c:v>
                </c:pt>
                <c:pt idx="14">
                  <c:v>0.65</c:v>
                </c:pt>
                <c:pt idx="15">
                  <c:v>0.39</c:v>
                </c:pt>
                <c:pt idx="17">
                  <c:v>0.38</c:v>
                </c:pt>
                <c:pt idx="18">
                  <c:v>0.76</c:v>
                </c:pt>
                <c:pt idx="20">
                  <c:v>0.44</c:v>
                </c:pt>
                <c:pt idx="22">
                  <c:v>0.56000000000000005</c:v>
                </c:pt>
                <c:pt idx="23">
                  <c:v>0.62</c:v>
                </c:pt>
                <c:pt idx="24">
                  <c:v>0.5</c:v>
                </c:pt>
                <c:pt idx="25">
                  <c:v>0.56999999999999995</c:v>
                </c:pt>
                <c:pt idx="2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0.53</c:v>
                </c:pt>
                <c:pt idx="1">
                  <c:v>0.47</c:v>
                </c:pt>
                <c:pt idx="2">
                  <c:v>0.52</c:v>
                </c:pt>
                <c:pt idx="3">
                  <c:v>0.51</c:v>
                </c:pt>
                <c:pt idx="4">
                  <c:v>0.48</c:v>
                </c:pt>
                <c:pt idx="5">
                  <c:v>0.67</c:v>
                </c:pt>
                <c:pt idx="6">
                  <c:v>0.47</c:v>
                </c:pt>
                <c:pt idx="7">
                  <c:v>0.43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0.46</c:v>
                </c:pt>
                <c:pt idx="11">
                  <c:v>0.45</c:v>
                </c:pt>
                <c:pt idx="13">
                  <c:v>0.6</c:v>
                </c:pt>
                <c:pt idx="14">
                  <c:v>0.6</c:v>
                </c:pt>
                <c:pt idx="15">
                  <c:v>0.41</c:v>
                </c:pt>
                <c:pt idx="17">
                  <c:v>0.41</c:v>
                </c:pt>
                <c:pt idx="18">
                  <c:v>0.67</c:v>
                </c:pt>
                <c:pt idx="20">
                  <c:v>0.49</c:v>
                </c:pt>
                <c:pt idx="22">
                  <c:v>0.54</c:v>
                </c:pt>
                <c:pt idx="23">
                  <c:v>0.6</c:v>
                </c:pt>
                <c:pt idx="24">
                  <c:v>0.56000000000000005</c:v>
                </c:pt>
                <c:pt idx="25">
                  <c:v>0.63</c:v>
                </c:pt>
                <c:pt idx="2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37" workbookViewId="0">
      <selection activeCell="E47" sqref="E47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456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542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543</v>
      </c>
    </row>
    <row r="29" spans="1:2" s="2" customFormat="1" x14ac:dyDescent="0.2">
      <c r="A29" s="2" t="s">
        <v>31</v>
      </c>
      <c r="B29" s="2" t="s">
        <v>544</v>
      </c>
    </row>
    <row r="30" spans="1:2" s="2" customFormat="1" x14ac:dyDescent="0.2">
      <c r="A30" s="2" t="s">
        <v>32</v>
      </c>
      <c r="B30" s="2" t="s">
        <v>545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546</v>
      </c>
      <c r="D42" s="1">
        <v>34.912166595458984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546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546</v>
      </c>
      <c r="D44" s="1">
        <v>33.156532287597656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546</v>
      </c>
      <c r="D45" s="1">
        <v>25.427053451538086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546</v>
      </c>
      <c r="D46" s="1">
        <v>25.464059829711914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546</v>
      </c>
      <c r="D47" s="1">
        <v>25.217435836791992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546</v>
      </c>
      <c r="D48" s="1">
        <v>25.701343536376953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546</v>
      </c>
      <c r="D49" s="1">
        <v>25.808258056640625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546</v>
      </c>
      <c r="D50" s="1">
        <v>26.212976455688477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546</v>
      </c>
      <c r="D51" s="1">
        <v>27.341259002685547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546</v>
      </c>
      <c r="D52" s="1">
        <v>27.33271598815918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546</v>
      </c>
      <c r="D53" s="1">
        <v>27.176540374755859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546</v>
      </c>
      <c r="D54" s="1">
        <v>28.098312377929688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546</v>
      </c>
      <c r="D55" s="1">
        <v>27.948957443237305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546</v>
      </c>
      <c r="D56" s="1">
        <v>28.468219757080078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546</v>
      </c>
      <c r="D57" s="1">
        <v>29.18212890625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546</v>
      </c>
      <c r="D58" s="1">
        <v>29.446783065795898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546</v>
      </c>
      <c r="D59" s="1">
        <v>29.292709350585938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546</v>
      </c>
      <c r="D60" s="1">
        <v>30.392082214355469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546</v>
      </c>
      <c r="D61" s="1">
        <v>30.351646423339844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546</v>
      </c>
      <c r="D62" s="1">
        <v>30.655431747436523</v>
      </c>
      <c r="H62" s="3" t="s">
        <v>435</v>
      </c>
    </row>
    <row r="63" spans="1:10" x14ac:dyDescent="0.2">
      <c r="A63" t="s">
        <v>76</v>
      </c>
      <c r="B63" s="14" t="s">
        <v>461</v>
      </c>
      <c r="C63" t="s">
        <v>546</v>
      </c>
      <c r="D63" s="1">
        <v>26.951589584350586</v>
      </c>
      <c r="H63" s="14" t="s">
        <v>461</v>
      </c>
      <c r="J63" s="3"/>
    </row>
    <row r="64" spans="1:10" x14ac:dyDescent="0.2">
      <c r="A64" t="s">
        <v>77</v>
      </c>
      <c r="B64" s="14" t="s">
        <v>462</v>
      </c>
      <c r="C64" t="s">
        <v>546</v>
      </c>
      <c r="D64" s="1">
        <v>26.880222320556641</v>
      </c>
      <c r="H64" s="14" t="s">
        <v>462</v>
      </c>
      <c r="J64" s="3"/>
    </row>
    <row r="65" spans="1:10" x14ac:dyDescent="0.2">
      <c r="A65" t="s">
        <v>78</v>
      </c>
      <c r="B65" s="14" t="s">
        <v>463</v>
      </c>
      <c r="C65" t="s">
        <v>546</v>
      </c>
      <c r="D65" s="1">
        <v>27.121339797973633</v>
      </c>
      <c r="H65" s="14" t="s">
        <v>463</v>
      </c>
      <c r="J65" s="3"/>
    </row>
    <row r="66" spans="1:10" x14ac:dyDescent="0.2">
      <c r="A66" t="s">
        <v>79</v>
      </c>
      <c r="B66" s="14" t="s">
        <v>464</v>
      </c>
      <c r="C66" t="s">
        <v>546</v>
      </c>
      <c r="D66" s="1">
        <v>27.065631866455078</v>
      </c>
      <c r="H66" s="14" t="s">
        <v>464</v>
      </c>
      <c r="J66" s="3"/>
    </row>
    <row r="67" spans="1:10" x14ac:dyDescent="0.2">
      <c r="A67" t="s">
        <v>80</v>
      </c>
      <c r="B67" s="14" t="s">
        <v>465</v>
      </c>
      <c r="C67" t="s">
        <v>546</v>
      </c>
      <c r="D67" s="1">
        <v>27.253744125366211</v>
      </c>
      <c r="H67" s="14" t="s">
        <v>465</v>
      </c>
      <c r="J67" s="3"/>
    </row>
    <row r="68" spans="1:10" x14ac:dyDescent="0.2">
      <c r="A68" t="s">
        <v>81</v>
      </c>
      <c r="B68" s="14" t="s">
        <v>466</v>
      </c>
      <c r="C68" t="s">
        <v>546</v>
      </c>
      <c r="D68" s="1">
        <v>27.169763565063477</v>
      </c>
      <c r="H68" s="14" t="s">
        <v>466</v>
      </c>
      <c r="J68" s="3"/>
    </row>
    <row r="69" spans="1:10" x14ac:dyDescent="0.2">
      <c r="A69" t="s">
        <v>82</v>
      </c>
      <c r="B69" s="14" t="s">
        <v>467</v>
      </c>
      <c r="C69" t="s">
        <v>546</v>
      </c>
      <c r="D69" s="1">
        <v>27.006998062133789</v>
      </c>
      <c r="H69" s="14" t="s">
        <v>467</v>
      </c>
      <c r="J69" s="3"/>
    </row>
    <row r="70" spans="1:10" x14ac:dyDescent="0.2">
      <c r="A70" t="s">
        <v>83</v>
      </c>
      <c r="B70" s="14" t="s">
        <v>468</v>
      </c>
      <c r="C70" t="s">
        <v>546</v>
      </c>
      <c r="D70" s="1">
        <v>27.197786331176758</v>
      </c>
      <c r="H70" s="14" t="s">
        <v>468</v>
      </c>
      <c r="J70" s="3"/>
    </row>
    <row r="71" spans="1:10" x14ac:dyDescent="0.2">
      <c r="A71" t="s">
        <v>84</v>
      </c>
      <c r="B71" s="14" t="s">
        <v>469</v>
      </c>
      <c r="C71" t="s">
        <v>546</v>
      </c>
      <c r="D71" s="1">
        <v>27.075090408325195</v>
      </c>
      <c r="H71" s="14" t="s">
        <v>469</v>
      </c>
      <c r="J71" s="3"/>
    </row>
    <row r="72" spans="1:10" x14ac:dyDescent="0.2">
      <c r="A72" t="s">
        <v>85</v>
      </c>
      <c r="B72" s="14" t="s">
        <v>470</v>
      </c>
      <c r="C72" t="s">
        <v>546</v>
      </c>
      <c r="D72" s="1">
        <v>26.861310958862305</v>
      </c>
      <c r="H72" s="14" t="s">
        <v>470</v>
      </c>
      <c r="J72" s="3"/>
    </row>
    <row r="73" spans="1:10" x14ac:dyDescent="0.2">
      <c r="A73" t="s">
        <v>86</v>
      </c>
      <c r="B73" s="14" t="s">
        <v>471</v>
      </c>
      <c r="C73" t="s">
        <v>546</v>
      </c>
      <c r="D73" s="1">
        <v>26.939973831176758</v>
      </c>
      <c r="H73" s="14" t="s">
        <v>471</v>
      </c>
      <c r="J73" s="3"/>
    </row>
    <row r="74" spans="1:10" x14ac:dyDescent="0.2">
      <c r="A74" t="s">
        <v>87</v>
      </c>
      <c r="B74" s="14" t="s">
        <v>472</v>
      </c>
      <c r="C74" t="s">
        <v>546</v>
      </c>
      <c r="D74" s="1">
        <v>26.954437255859375</v>
      </c>
      <c r="H74" s="14" t="s">
        <v>472</v>
      </c>
      <c r="J74" s="3"/>
    </row>
    <row r="75" spans="1:10" x14ac:dyDescent="0.2">
      <c r="A75" t="s">
        <v>88</v>
      </c>
      <c r="B75" s="14" t="s">
        <v>473</v>
      </c>
      <c r="C75" t="s">
        <v>546</v>
      </c>
      <c r="D75" s="1">
        <v>27.833194732666016</v>
      </c>
      <c r="H75" s="14" t="s">
        <v>473</v>
      </c>
      <c r="J75" s="3"/>
    </row>
    <row r="76" spans="1:10" x14ac:dyDescent="0.2">
      <c r="A76" t="s">
        <v>89</v>
      </c>
      <c r="B76" s="14" t="s">
        <v>474</v>
      </c>
      <c r="C76" t="s">
        <v>546</v>
      </c>
      <c r="D76" s="1">
        <v>27.482398986816406</v>
      </c>
      <c r="H76" s="14" t="s">
        <v>474</v>
      </c>
      <c r="J76" s="3"/>
    </row>
    <row r="77" spans="1:10" x14ac:dyDescent="0.2">
      <c r="A77" t="s">
        <v>90</v>
      </c>
      <c r="B77" s="14" t="s">
        <v>475</v>
      </c>
      <c r="C77" t="s">
        <v>546</v>
      </c>
      <c r="D77" s="1">
        <v>27.412202835083008</v>
      </c>
      <c r="H77" s="14" t="s">
        <v>475</v>
      </c>
      <c r="J77" s="3"/>
    </row>
    <row r="78" spans="1:10" x14ac:dyDescent="0.2">
      <c r="A78" t="s">
        <v>91</v>
      </c>
      <c r="B78" s="14" t="s">
        <v>476</v>
      </c>
      <c r="C78" t="s">
        <v>546</v>
      </c>
      <c r="D78" s="1">
        <v>27.05235481262207</v>
      </c>
      <c r="H78" s="14" t="s">
        <v>476</v>
      </c>
      <c r="J78" s="3"/>
    </row>
    <row r="79" spans="1:10" x14ac:dyDescent="0.2">
      <c r="A79" t="s">
        <v>92</v>
      </c>
      <c r="B79" s="14" t="s">
        <v>477</v>
      </c>
      <c r="C79" t="s">
        <v>546</v>
      </c>
      <c r="D79" s="1">
        <v>26.662668228149414</v>
      </c>
      <c r="H79" s="14" t="s">
        <v>477</v>
      </c>
      <c r="J79" s="3"/>
    </row>
    <row r="80" spans="1:10" x14ac:dyDescent="0.2">
      <c r="A80" t="s">
        <v>93</v>
      </c>
      <c r="B80" s="14" t="s">
        <v>478</v>
      </c>
      <c r="C80" t="s">
        <v>546</v>
      </c>
      <c r="D80" s="1">
        <v>27.277364730834961</v>
      </c>
      <c r="H80" s="14" t="s">
        <v>478</v>
      </c>
      <c r="J80" s="3"/>
    </row>
    <row r="81" spans="1:10" x14ac:dyDescent="0.2">
      <c r="A81" t="s">
        <v>94</v>
      </c>
      <c r="B81" s="14" t="s">
        <v>479</v>
      </c>
      <c r="C81" t="s">
        <v>546</v>
      </c>
      <c r="D81" s="1">
        <v>27.468341827392578</v>
      </c>
      <c r="H81" s="14" t="s">
        <v>479</v>
      </c>
      <c r="J81" s="3"/>
    </row>
    <row r="82" spans="1:10" x14ac:dyDescent="0.2">
      <c r="A82" t="s">
        <v>95</v>
      </c>
      <c r="B82" s="14" t="s">
        <v>480</v>
      </c>
      <c r="C82" t="s">
        <v>546</v>
      </c>
      <c r="D82" s="1">
        <v>27.492786407470703</v>
      </c>
      <c r="H82" s="14" t="s">
        <v>480</v>
      </c>
      <c r="J82" s="3"/>
    </row>
    <row r="83" spans="1:10" x14ac:dyDescent="0.2">
      <c r="A83" t="s">
        <v>96</v>
      </c>
      <c r="B83" s="14" t="s">
        <v>481</v>
      </c>
      <c r="C83" t="s">
        <v>546</v>
      </c>
      <c r="D83" s="1">
        <v>27.376163482666016</v>
      </c>
      <c r="H83" s="14" t="s">
        <v>481</v>
      </c>
      <c r="J83" s="3"/>
    </row>
    <row r="84" spans="1:10" x14ac:dyDescent="0.2">
      <c r="A84" t="s">
        <v>97</v>
      </c>
      <c r="B84" s="14" t="s">
        <v>482</v>
      </c>
      <c r="C84" t="s">
        <v>546</v>
      </c>
      <c r="D84" s="1">
        <v>27.587015151977539</v>
      </c>
      <c r="H84" s="14" t="s">
        <v>482</v>
      </c>
      <c r="J84" s="3"/>
    </row>
    <row r="85" spans="1:10" x14ac:dyDescent="0.2">
      <c r="A85" t="s">
        <v>98</v>
      </c>
      <c r="B85" s="14" t="s">
        <v>483</v>
      </c>
      <c r="C85" t="s">
        <v>546</v>
      </c>
      <c r="D85" s="1">
        <v>27.499984741210938</v>
      </c>
      <c r="H85" s="14" t="s">
        <v>483</v>
      </c>
      <c r="J85" s="3"/>
    </row>
    <row r="86" spans="1:10" x14ac:dyDescent="0.2">
      <c r="A86" t="s">
        <v>99</v>
      </c>
      <c r="B86" s="14" t="s">
        <v>484</v>
      </c>
      <c r="C86" t="s">
        <v>546</v>
      </c>
      <c r="D86" s="1">
        <v>27.541980743408203</v>
      </c>
      <c r="H86" s="14" t="s">
        <v>484</v>
      </c>
      <c r="J86" s="3"/>
    </row>
    <row r="87" spans="1:10" x14ac:dyDescent="0.2">
      <c r="A87" t="s">
        <v>100</v>
      </c>
      <c r="B87" s="14" t="s">
        <v>485</v>
      </c>
      <c r="C87" t="s">
        <v>546</v>
      </c>
      <c r="D87" s="1">
        <v>26.789152145385742</v>
      </c>
      <c r="H87" s="14" t="s">
        <v>485</v>
      </c>
      <c r="J87" s="3"/>
    </row>
    <row r="88" spans="1:10" x14ac:dyDescent="0.2">
      <c r="A88" t="s">
        <v>101</v>
      </c>
      <c r="B88" s="14" t="s">
        <v>486</v>
      </c>
      <c r="C88" t="s">
        <v>546</v>
      </c>
      <c r="D88" s="1">
        <v>26.893436431884766</v>
      </c>
      <c r="H88" s="14" t="s">
        <v>486</v>
      </c>
      <c r="J88" s="3"/>
    </row>
    <row r="89" spans="1:10" x14ac:dyDescent="0.2">
      <c r="A89" t="s">
        <v>102</v>
      </c>
      <c r="B89" s="14" t="s">
        <v>487</v>
      </c>
      <c r="C89" t="s">
        <v>546</v>
      </c>
      <c r="D89" s="1">
        <v>26.829818725585938</v>
      </c>
      <c r="H89" s="14" t="s">
        <v>487</v>
      </c>
      <c r="J89" s="3"/>
    </row>
    <row r="90" spans="1:10" x14ac:dyDescent="0.2">
      <c r="A90" t="s">
        <v>103</v>
      </c>
      <c r="B90" s="14" t="s">
        <v>488</v>
      </c>
      <c r="C90" t="s">
        <v>546</v>
      </c>
      <c r="D90" s="1">
        <v>26.991676330566406</v>
      </c>
      <c r="H90" s="14" t="s">
        <v>488</v>
      </c>
      <c r="J90" s="3"/>
    </row>
    <row r="91" spans="1:10" x14ac:dyDescent="0.2">
      <c r="A91" t="s">
        <v>104</v>
      </c>
      <c r="B91" s="14" t="s">
        <v>489</v>
      </c>
      <c r="C91" t="s">
        <v>546</v>
      </c>
      <c r="D91" s="1">
        <v>26.91676139831543</v>
      </c>
      <c r="H91" s="14" t="s">
        <v>489</v>
      </c>
      <c r="J91" s="3"/>
    </row>
    <row r="92" spans="1:10" x14ac:dyDescent="0.2">
      <c r="A92" t="s">
        <v>105</v>
      </c>
      <c r="B92" s="14" t="s">
        <v>490</v>
      </c>
      <c r="C92" t="s">
        <v>546</v>
      </c>
      <c r="D92" s="1">
        <v>27.023441314697266</v>
      </c>
      <c r="H92" s="14" t="s">
        <v>490</v>
      </c>
      <c r="J92" s="3"/>
    </row>
    <row r="93" spans="1:10" x14ac:dyDescent="0.2">
      <c r="A93" t="s">
        <v>106</v>
      </c>
      <c r="B93" s="14" t="s">
        <v>491</v>
      </c>
      <c r="C93" t="s">
        <v>546</v>
      </c>
      <c r="D93" s="1">
        <v>27.474668502807617</v>
      </c>
      <c r="H93" s="14" t="s">
        <v>491</v>
      </c>
      <c r="J93" s="3"/>
    </row>
    <row r="94" spans="1:10" x14ac:dyDescent="0.2">
      <c r="A94" t="s">
        <v>107</v>
      </c>
      <c r="B94" s="14" t="s">
        <v>492</v>
      </c>
      <c r="C94" t="s">
        <v>546</v>
      </c>
      <c r="D94" s="1">
        <v>27.213613510131836</v>
      </c>
      <c r="H94" s="14" t="s">
        <v>492</v>
      </c>
      <c r="J94" s="3"/>
    </row>
    <row r="95" spans="1:10" x14ac:dyDescent="0.2">
      <c r="A95" t="s">
        <v>108</v>
      </c>
      <c r="B95" s="14" t="s">
        <v>493</v>
      </c>
      <c r="C95" t="s">
        <v>546</v>
      </c>
      <c r="D95" s="1">
        <v>27.47320556640625</v>
      </c>
      <c r="H95" s="14" t="s">
        <v>493</v>
      </c>
      <c r="J95" s="3"/>
    </row>
    <row r="96" spans="1:10" x14ac:dyDescent="0.2">
      <c r="A96" t="s">
        <v>109</v>
      </c>
      <c r="B96" s="14" t="s">
        <v>494</v>
      </c>
      <c r="C96" t="s">
        <v>546</v>
      </c>
      <c r="D96" s="1">
        <v>28.061513900756836</v>
      </c>
      <c r="H96" s="14" t="s">
        <v>494</v>
      </c>
      <c r="J96" s="3"/>
    </row>
    <row r="97" spans="1:10" x14ac:dyDescent="0.2">
      <c r="A97" t="s">
        <v>110</v>
      </c>
      <c r="B97" s="14" t="s">
        <v>495</v>
      </c>
      <c r="C97" t="s">
        <v>546</v>
      </c>
      <c r="D97" s="1">
        <v>27.459978103637695</v>
      </c>
      <c r="H97" s="14" t="s">
        <v>495</v>
      </c>
      <c r="J97" s="3"/>
    </row>
    <row r="98" spans="1:10" x14ac:dyDescent="0.2">
      <c r="A98" t="s">
        <v>111</v>
      </c>
      <c r="B98" s="14" t="s">
        <v>496</v>
      </c>
      <c r="C98" t="s">
        <v>546</v>
      </c>
      <c r="D98" s="1">
        <v>27.659290313720703</v>
      </c>
      <c r="H98" s="14" t="s">
        <v>496</v>
      </c>
      <c r="J98" s="3"/>
    </row>
    <row r="99" spans="1:10" x14ac:dyDescent="0.2">
      <c r="A99" t="s">
        <v>112</v>
      </c>
      <c r="B99" s="14" t="s">
        <v>497</v>
      </c>
      <c r="C99" t="s">
        <v>546</v>
      </c>
      <c r="D99" s="1">
        <v>29.338342666625977</v>
      </c>
      <c r="H99" s="14" t="s">
        <v>497</v>
      </c>
      <c r="J99" s="3"/>
    </row>
    <row r="100" spans="1:10" x14ac:dyDescent="0.2">
      <c r="A100" t="s">
        <v>113</v>
      </c>
      <c r="B100" s="14" t="s">
        <v>498</v>
      </c>
      <c r="C100" t="s">
        <v>546</v>
      </c>
      <c r="D100" s="1">
        <v>29.153863906860352</v>
      </c>
      <c r="H100" s="14" t="s">
        <v>498</v>
      </c>
      <c r="J100" s="3"/>
    </row>
    <row r="101" spans="1:10" x14ac:dyDescent="0.2">
      <c r="A101" t="s">
        <v>114</v>
      </c>
      <c r="B101" s="14" t="s">
        <v>499</v>
      </c>
      <c r="C101" t="s">
        <v>546</v>
      </c>
      <c r="D101" s="1">
        <v>29.101728439331055</v>
      </c>
      <c r="H101" s="14" t="s">
        <v>499</v>
      </c>
      <c r="J101" s="3"/>
    </row>
    <row r="102" spans="1:10" x14ac:dyDescent="0.2">
      <c r="A102" t="s">
        <v>115</v>
      </c>
      <c r="B102" s="14" t="s">
        <v>500</v>
      </c>
      <c r="C102" t="s">
        <v>546</v>
      </c>
      <c r="D102" s="1">
        <v>27.278131484985352</v>
      </c>
      <c r="H102" s="14" t="s">
        <v>500</v>
      </c>
      <c r="J102" s="3"/>
    </row>
    <row r="103" spans="1:10" x14ac:dyDescent="0.2">
      <c r="A103" t="s">
        <v>116</v>
      </c>
      <c r="B103" s="14" t="s">
        <v>501</v>
      </c>
      <c r="C103" t="s">
        <v>546</v>
      </c>
      <c r="D103" s="1">
        <v>26.747812271118164</v>
      </c>
      <c r="H103" s="14" t="s">
        <v>501</v>
      </c>
      <c r="J103" s="3"/>
    </row>
    <row r="104" spans="1:10" x14ac:dyDescent="0.2">
      <c r="A104" t="s">
        <v>117</v>
      </c>
      <c r="B104" s="14" t="s">
        <v>502</v>
      </c>
      <c r="C104" t="s">
        <v>546</v>
      </c>
      <c r="D104" s="1">
        <v>27.256860733032227</v>
      </c>
      <c r="H104" s="14" t="s">
        <v>502</v>
      </c>
      <c r="J104" s="3"/>
    </row>
    <row r="105" spans="1:10" x14ac:dyDescent="0.2">
      <c r="A105" t="s">
        <v>118</v>
      </c>
      <c r="B105" s="14" t="s">
        <v>503</v>
      </c>
      <c r="C105" t="s">
        <v>546</v>
      </c>
      <c r="D105" s="1">
        <v>26.450160980224609</v>
      </c>
      <c r="H105" s="14" t="s">
        <v>503</v>
      </c>
      <c r="J105" s="3"/>
    </row>
    <row r="106" spans="1:10" x14ac:dyDescent="0.2">
      <c r="A106" t="s">
        <v>119</v>
      </c>
      <c r="B106" s="14" t="s">
        <v>504</v>
      </c>
      <c r="C106" t="s">
        <v>546</v>
      </c>
      <c r="D106" s="1">
        <v>26.572360992431641</v>
      </c>
      <c r="H106" s="14" t="s">
        <v>504</v>
      </c>
      <c r="J106" s="3"/>
    </row>
    <row r="107" spans="1:10" x14ac:dyDescent="0.2">
      <c r="A107" t="s">
        <v>120</v>
      </c>
      <c r="B107" s="14" t="s">
        <v>505</v>
      </c>
      <c r="C107" t="s">
        <v>546</v>
      </c>
      <c r="D107" s="1">
        <v>26.954362869262695</v>
      </c>
      <c r="H107" s="14" t="s">
        <v>505</v>
      </c>
      <c r="J107" s="3"/>
    </row>
    <row r="108" spans="1:10" x14ac:dyDescent="0.2">
      <c r="A108" t="s">
        <v>121</v>
      </c>
      <c r="B108" s="14" t="s">
        <v>506</v>
      </c>
      <c r="C108" t="s">
        <v>546</v>
      </c>
      <c r="D108" s="1">
        <v>27.888633728027344</v>
      </c>
      <c r="H108" s="14" t="s">
        <v>506</v>
      </c>
      <c r="J108" s="3"/>
    </row>
    <row r="109" spans="1:10" x14ac:dyDescent="0.2">
      <c r="A109" t="s">
        <v>122</v>
      </c>
      <c r="B109" s="14" t="s">
        <v>507</v>
      </c>
      <c r="C109" t="s">
        <v>546</v>
      </c>
      <c r="D109" s="1">
        <v>27.75025749206543</v>
      </c>
      <c r="H109" s="14" t="s">
        <v>507</v>
      </c>
      <c r="J109" s="3"/>
    </row>
    <row r="110" spans="1:10" x14ac:dyDescent="0.2">
      <c r="A110" t="s">
        <v>123</v>
      </c>
      <c r="B110" s="14" t="s">
        <v>508</v>
      </c>
      <c r="C110" t="s">
        <v>546</v>
      </c>
      <c r="D110" s="1">
        <v>27.456939697265625</v>
      </c>
      <c r="H110" s="14" t="s">
        <v>508</v>
      </c>
      <c r="J110" s="3"/>
    </row>
    <row r="111" spans="1:10" x14ac:dyDescent="0.2">
      <c r="A111" t="s">
        <v>124</v>
      </c>
      <c r="B111" s="14" t="s">
        <v>509</v>
      </c>
      <c r="C111" t="s">
        <v>546</v>
      </c>
      <c r="D111" s="1">
        <v>28.554597854614258</v>
      </c>
      <c r="H111" s="14" t="s">
        <v>509</v>
      </c>
    </row>
    <row r="112" spans="1:10" x14ac:dyDescent="0.2">
      <c r="A112" t="s">
        <v>125</v>
      </c>
      <c r="B112" s="14" t="s">
        <v>510</v>
      </c>
      <c r="C112" t="s">
        <v>546</v>
      </c>
      <c r="D112" s="1">
        <v>28.246644973754883</v>
      </c>
      <c r="H112" s="14" t="s">
        <v>510</v>
      </c>
    </row>
    <row r="113" spans="1:8" x14ac:dyDescent="0.2">
      <c r="A113" t="s">
        <v>126</v>
      </c>
      <c r="B113" s="14" t="s">
        <v>511</v>
      </c>
      <c r="C113" t="s">
        <v>546</v>
      </c>
      <c r="D113" s="1">
        <v>28.281248092651367</v>
      </c>
      <c r="H113" s="14" t="s">
        <v>511</v>
      </c>
    </row>
    <row r="114" spans="1:8" x14ac:dyDescent="0.2">
      <c r="A114" t="s">
        <v>127</v>
      </c>
      <c r="B114" s="14" t="s">
        <v>512</v>
      </c>
      <c r="C114" t="s">
        <v>546</v>
      </c>
      <c r="D114" s="1">
        <v>27.80364990234375</v>
      </c>
      <c r="H114" s="14" t="s">
        <v>512</v>
      </c>
    </row>
    <row r="115" spans="1:8" x14ac:dyDescent="0.2">
      <c r="A115" t="s">
        <v>128</v>
      </c>
      <c r="B115" s="14" t="s">
        <v>513</v>
      </c>
      <c r="C115" t="s">
        <v>546</v>
      </c>
      <c r="D115" s="1">
        <v>27.561269760131836</v>
      </c>
      <c r="H115" s="14" t="s">
        <v>513</v>
      </c>
    </row>
    <row r="116" spans="1:8" x14ac:dyDescent="0.2">
      <c r="A116" t="s">
        <v>129</v>
      </c>
      <c r="B116" s="14" t="s">
        <v>514</v>
      </c>
      <c r="C116" t="s">
        <v>546</v>
      </c>
      <c r="D116" s="1">
        <v>27.59330940246582</v>
      </c>
      <c r="H116" s="14" t="s">
        <v>514</v>
      </c>
    </row>
    <row r="117" spans="1:8" x14ac:dyDescent="0.2">
      <c r="A117" t="s">
        <v>130</v>
      </c>
      <c r="B117" s="14" t="s">
        <v>515</v>
      </c>
      <c r="C117" t="s">
        <v>546</v>
      </c>
      <c r="D117" s="1">
        <v>26.474451065063477</v>
      </c>
      <c r="H117" s="14" t="s">
        <v>515</v>
      </c>
    </row>
    <row r="118" spans="1:8" x14ac:dyDescent="0.2">
      <c r="A118" t="s">
        <v>131</v>
      </c>
      <c r="B118" s="14" t="s">
        <v>516</v>
      </c>
      <c r="C118" t="s">
        <v>546</v>
      </c>
      <c r="D118" s="1">
        <v>26.307693481445313</v>
      </c>
      <c r="H118" s="14" t="s">
        <v>516</v>
      </c>
    </row>
    <row r="119" spans="1:8" x14ac:dyDescent="0.2">
      <c r="A119" t="s">
        <v>132</v>
      </c>
      <c r="B119" s="14" t="s">
        <v>517</v>
      </c>
      <c r="C119" t="s">
        <v>546</v>
      </c>
      <c r="D119" s="1">
        <v>26.600345611572266</v>
      </c>
      <c r="H119" s="14" t="s">
        <v>517</v>
      </c>
    </row>
    <row r="120" spans="1:8" x14ac:dyDescent="0.2">
      <c r="A120" t="s">
        <v>133</v>
      </c>
      <c r="B120" s="14" t="s">
        <v>518</v>
      </c>
      <c r="C120" t="s">
        <v>546</v>
      </c>
      <c r="D120" t="s">
        <v>55</v>
      </c>
      <c r="H120" s="14" t="s">
        <v>518</v>
      </c>
    </row>
    <row r="121" spans="1:8" x14ac:dyDescent="0.2">
      <c r="A121" t="s">
        <v>134</v>
      </c>
      <c r="B121" s="14" t="s">
        <v>519</v>
      </c>
      <c r="C121" t="s">
        <v>546</v>
      </c>
      <c r="D121" t="s">
        <v>55</v>
      </c>
      <c r="H121" s="14" t="s">
        <v>519</v>
      </c>
    </row>
    <row r="122" spans="1:8" x14ac:dyDescent="0.2">
      <c r="A122" t="s">
        <v>135</v>
      </c>
      <c r="B122" s="14" t="s">
        <v>520</v>
      </c>
      <c r="C122" t="s">
        <v>546</v>
      </c>
      <c r="D122" t="s">
        <v>55</v>
      </c>
      <c r="H122" s="14" t="s">
        <v>520</v>
      </c>
    </row>
    <row r="123" spans="1:8" x14ac:dyDescent="0.2">
      <c r="A123" t="s">
        <v>136</v>
      </c>
      <c r="B123" s="14" t="s">
        <v>521</v>
      </c>
      <c r="C123" t="s">
        <v>546</v>
      </c>
      <c r="D123" s="1">
        <v>27.526445388793945</v>
      </c>
      <c r="H123" s="14" t="s">
        <v>521</v>
      </c>
    </row>
    <row r="124" spans="1:8" x14ac:dyDescent="0.2">
      <c r="A124" t="s">
        <v>137</v>
      </c>
      <c r="B124" s="14" t="s">
        <v>522</v>
      </c>
      <c r="C124" t="s">
        <v>546</v>
      </c>
      <c r="D124" s="1">
        <v>27.120731353759766</v>
      </c>
      <c r="H124" s="14" t="s">
        <v>522</v>
      </c>
    </row>
    <row r="125" spans="1:8" x14ac:dyDescent="0.2">
      <c r="A125" t="s">
        <v>138</v>
      </c>
      <c r="B125" s="14" t="s">
        <v>523</v>
      </c>
      <c r="C125" t="s">
        <v>546</v>
      </c>
      <c r="D125" s="1">
        <v>27.495485305786133</v>
      </c>
      <c r="H125" s="14" t="s">
        <v>523</v>
      </c>
    </row>
    <row r="126" spans="1:8" x14ac:dyDescent="0.2">
      <c r="A126" t="s">
        <v>139</v>
      </c>
      <c r="B126" s="14" t="s">
        <v>524</v>
      </c>
      <c r="C126" t="s">
        <v>546</v>
      </c>
      <c r="D126" s="1">
        <v>31.958944320678711</v>
      </c>
      <c r="H126" s="14" t="s">
        <v>524</v>
      </c>
    </row>
    <row r="127" spans="1:8" x14ac:dyDescent="0.2">
      <c r="A127" t="s">
        <v>140</v>
      </c>
      <c r="B127" s="14" t="s">
        <v>525</v>
      </c>
      <c r="C127" t="s">
        <v>546</v>
      </c>
      <c r="D127" s="1">
        <v>31.953575134277344</v>
      </c>
      <c r="H127" s="14" t="s">
        <v>525</v>
      </c>
    </row>
    <row r="128" spans="1:8" x14ac:dyDescent="0.2">
      <c r="A128" t="s">
        <v>141</v>
      </c>
      <c r="B128" s="14" t="s">
        <v>526</v>
      </c>
      <c r="C128" t="s">
        <v>546</v>
      </c>
      <c r="D128" s="1">
        <v>32.430027008056641</v>
      </c>
      <c r="H128" s="14" t="s">
        <v>526</v>
      </c>
    </row>
    <row r="129" spans="1:8" x14ac:dyDescent="0.2">
      <c r="A129" t="s">
        <v>142</v>
      </c>
      <c r="B129" s="14" t="s">
        <v>527</v>
      </c>
      <c r="C129" t="s">
        <v>546</v>
      </c>
      <c r="D129" s="1">
        <v>27.186981201171875</v>
      </c>
      <c r="H129" s="14" t="s">
        <v>527</v>
      </c>
    </row>
    <row r="130" spans="1:8" x14ac:dyDescent="0.2">
      <c r="A130" t="s">
        <v>143</v>
      </c>
      <c r="B130" s="14" t="s">
        <v>528</v>
      </c>
      <c r="C130" t="s">
        <v>546</v>
      </c>
      <c r="D130" s="1">
        <v>27.046953201293945</v>
      </c>
      <c r="H130" s="14" t="s">
        <v>528</v>
      </c>
    </row>
    <row r="131" spans="1:8" x14ac:dyDescent="0.2">
      <c r="A131" t="s">
        <v>144</v>
      </c>
      <c r="B131" s="14" t="s">
        <v>529</v>
      </c>
      <c r="C131" t="s">
        <v>546</v>
      </c>
      <c r="D131" s="1">
        <v>27.412471771240234</v>
      </c>
      <c r="H131" s="14" t="s">
        <v>529</v>
      </c>
    </row>
    <row r="132" spans="1:8" x14ac:dyDescent="0.2">
      <c r="A132" t="s">
        <v>145</v>
      </c>
      <c r="B132" s="14" t="s">
        <v>530</v>
      </c>
      <c r="C132" t="s">
        <v>546</v>
      </c>
      <c r="D132" s="1">
        <v>27.127309799194336</v>
      </c>
      <c r="H132" s="14" t="s">
        <v>530</v>
      </c>
    </row>
    <row r="133" spans="1:8" x14ac:dyDescent="0.2">
      <c r="A133" t="s">
        <v>146</v>
      </c>
      <c r="B133" s="14" t="s">
        <v>531</v>
      </c>
      <c r="C133" t="s">
        <v>546</v>
      </c>
      <c r="D133" s="1">
        <v>27.014392852783203</v>
      </c>
      <c r="H133" s="14" t="s">
        <v>531</v>
      </c>
    </row>
    <row r="134" spans="1:8" x14ac:dyDescent="0.2">
      <c r="A134" t="s">
        <v>147</v>
      </c>
      <c r="B134" s="14" t="s">
        <v>532</v>
      </c>
      <c r="C134" t="s">
        <v>546</v>
      </c>
      <c r="D134" s="1">
        <v>27.095792770385742</v>
      </c>
      <c r="H134" s="14" t="s">
        <v>532</v>
      </c>
    </row>
    <row r="135" spans="1:8" x14ac:dyDescent="0.2">
      <c r="A135" t="s">
        <v>148</v>
      </c>
      <c r="B135" s="14" t="s">
        <v>533</v>
      </c>
      <c r="C135" t="s">
        <v>546</v>
      </c>
      <c r="D135" s="1">
        <v>27.326467514038086</v>
      </c>
      <c r="H135" s="14" t="s">
        <v>533</v>
      </c>
    </row>
    <row r="136" spans="1:8" x14ac:dyDescent="0.2">
      <c r="A136" t="s">
        <v>149</v>
      </c>
      <c r="B136" s="14" t="s">
        <v>534</v>
      </c>
      <c r="C136" t="s">
        <v>546</v>
      </c>
      <c r="D136" s="1">
        <v>27.166440963745117</v>
      </c>
      <c r="H136" s="14" t="s">
        <v>534</v>
      </c>
    </row>
    <row r="137" spans="1:8" x14ac:dyDescent="0.2">
      <c r="A137" t="s">
        <v>150</v>
      </c>
      <c r="B137" s="14" t="s">
        <v>535</v>
      </c>
      <c r="C137" t="s">
        <v>546</v>
      </c>
      <c r="D137" s="1">
        <v>26.969581604003906</v>
      </c>
      <c r="H137" s="14" t="s">
        <v>535</v>
      </c>
    </row>
    <row r="138" spans="1:8" x14ac:dyDescent="0.2">
      <c r="A138" t="s">
        <v>151</v>
      </c>
      <c r="B138" s="14" t="s">
        <v>536</v>
      </c>
      <c r="C138" t="s">
        <v>546</v>
      </c>
      <c r="D138" s="1">
        <v>27.430292129516602</v>
      </c>
      <c r="H138" s="14" t="s">
        <v>536</v>
      </c>
    </row>
    <row r="139" spans="1:8" x14ac:dyDescent="0.2">
      <c r="A139" t="s">
        <v>152</v>
      </c>
      <c r="B139" s="14" t="s">
        <v>537</v>
      </c>
      <c r="C139" t="s">
        <v>546</v>
      </c>
      <c r="D139" s="1">
        <v>27.163633346557617</v>
      </c>
      <c r="H139" s="14" t="s">
        <v>537</v>
      </c>
    </row>
    <row r="140" spans="1:8" x14ac:dyDescent="0.2">
      <c r="A140" t="s">
        <v>153</v>
      </c>
      <c r="B140" s="14" t="s">
        <v>538</v>
      </c>
      <c r="C140" t="s">
        <v>546</v>
      </c>
      <c r="D140" s="1">
        <v>27.13262939453125</v>
      </c>
      <c r="H140" s="14" t="s">
        <v>538</v>
      </c>
    </row>
    <row r="141" spans="1:8" x14ac:dyDescent="0.2">
      <c r="A141" t="s">
        <v>154</v>
      </c>
      <c r="B141" s="14" t="s">
        <v>539</v>
      </c>
      <c r="C141" t="s">
        <v>546</v>
      </c>
      <c r="D141" s="1">
        <v>27.78759765625</v>
      </c>
      <c r="H141" s="14" t="s">
        <v>539</v>
      </c>
    </row>
    <row r="142" spans="1:8" x14ac:dyDescent="0.2">
      <c r="A142" t="s">
        <v>155</v>
      </c>
      <c r="B142" s="14" t="s">
        <v>540</v>
      </c>
      <c r="C142" t="s">
        <v>546</v>
      </c>
      <c r="D142" s="1">
        <v>27.436798095703125</v>
      </c>
      <c r="H142" s="14" t="s">
        <v>540</v>
      </c>
    </row>
    <row r="143" spans="1:8" x14ac:dyDescent="0.2">
      <c r="A143" t="s">
        <v>156</v>
      </c>
      <c r="B143" s="14" t="s">
        <v>541</v>
      </c>
      <c r="C143" t="s">
        <v>546</v>
      </c>
      <c r="D143" s="1">
        <v>27.532510757446289</v>
      </c>
      <c r="H143" s="14" t="s">
        <v>541</v>
      </c>
    </row>
    <row r="144" spans="1:8" x14ac:dyDescent="0.2">
      <c r="A144" t="s">
        <v>157</v>
      </c>
      <c r="B144" s="3" t="s">
        <v>457</v>
      </c>
      <c r="C144" t="s">
        <v>546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546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546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546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546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546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546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546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546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546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546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546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546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546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546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546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546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546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547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547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547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547</v>
      </c>
      <c r="D165" s="1">
        <v>26.439289093017578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547</v>
      </c>
      <c r="D166" s="1">
        <v>26.394227981567383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547</v>
      </c>
      <c r="D167" s="1">
        <v>26.348764419555664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547</v>
      </c>
      <c r="D168" s="1">
        <v>27.281583786010742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547</v>
      </c>
      <c r="D169" s="1">
        <v>27.148614883422852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547</v>
      </c>
      <c r="D170" s="1">
        <v>27.1123046875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547</v>
      </c>
      <c r="D171" s="1">
        <v>28.028755187988281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547</v>
      </c>
      <c r="D172" s="1">
        <v>28.304981231689453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547</v>
      </c>
      <c r="D173" s="1">
        <v>28.289346694946289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547</v>
      </c>
      <c r="D174" s="1">
        <v>29.18773078918457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547</v>
      </c>
      <c r="D175" s="1">
        <v>29.207115173339844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547</v>
      </c>
      <c r="D176" s="1">
        <v>29.37150764465332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547</v>
      </c>
      <c r="D177" s="1">
        <v>30.283435821533203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547</v>
      </c>
      <c r="D178" s="1">
        <v>30.522380828857422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547</v>
      </c>
      <c r="D179" s="1">
        <v>30.38458251953125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547</v>
      </c>
      <c r="D180" s="1">
        <v>31.489595413208008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547</v>
      </c>
      <c r="D181" s="1">
        <v>31.486427307128906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547</v>
      </c>
      <c r="D182" s="1">
        <v>31.773475646972656</v>
      </c>
      <c r="H182" s="3" t="s">
        <v>435</v>
      </c>
    </row>
    <row r="183" spans="1:8" x14ac:dyDescent="0.2">
      <c r="A183" t="s">
        <v>196</v>
      </c>
      <c r="B183" s="14" t="s">
        <v>461</v>
      </c>
      <c r="C183" t="s">
        <v>547</v>
      </c>
      <c r="D183" s="1">
        <v>27.873397827148438</v>
      </c>
      <c r="H183" s="14" t="s">
        <v>461</v>
      </c>
    </row>
    <row r="184" spans="1:8" x14ac:dyDescent="0.2">
      <c r="A184" t="s">
        <v>197</v>
      </c>
      <c r="B184" s="14" t="s">
        <v>462</v>
      </c>
      <c r="C184" t="s">
        <v>547</v>
      </c>
      <c r="D184" s="1">
        <v>28.167076110839844</v>
      </c>
      <c r="H184" s="14" t="s">
        <v>462</v>
      </c>
    </row>
    <row r="185" spans="1:8" x14ac:dyDescent="0.2">
      <c r="A185" t="s">
        <v>198</v>
      </c>
      <c r="B185" s="14" t="s">
        <v>463</v>
      </c>
      <c r="C185" t="s">
        <v>547</v>
      </c>
      <c r="D185" s="1">
        <v>28.118007659912109</v>
      </c>
      <c r="H185" s="14" t="s">
        <v>463</v>
      </c>
    </row>
    <row r="186" spans="1:8" x14ac:dyDescent="0.2">
      <c r="A186" t="s">
        <v>199</v>
      </c>
      <c r="B186" s="14" t="s">
        <v>464</v>
      </c>
      <c r="C186" t="s">
        <v>547</v>
      </c>
      <c r="D186" s="1">
        <v>28.198263168334961</v>
      </c>
      <c r="H186" s="14" t="s">
        <v>464</v>
      </c>
    </row>
    <row r="187" spans="1:8" x14ac:dyDescent="0.2">
      <c r="A187" t="s">
        <v>200</v>
      </c>
      <c r="B187" s="14" t="s">
        <v>465</v>
      </c>
      <c r="C187" t="s">
        <v>547</v>
      </c>
      <c r="D187" s="1">
        <v>28.407228469848633</v>
      </c>
      <c r="H187" s="14" t="s">
        <v>465</v>
      </c>
    </row>
    <row r="188" spans="1:8" x14ac:dyDescent="0.2">
      <c r="A188" t="s">
        <v>201</v>
      </c>
      <c r="B188" s="14" t="s">
        <v>466</v>
      </c>
      <c r="C188" t="s">
        <v>547</v>
      </c>
      <c r="D188" s="1">
        <v>28.219169616699219</v>
      </c>
      <c r="H188" s="14" t="s">
        <v>466</v>
      </c>
    </row>
    <row r="189" spans="1:8" x14ac:dyDescent="0.2">
      <c r="A189" t="s">
        <v>202</v>
      </c>
      <c r="B189" s="14" t="s">
        <v>467</v>
      </c>
      <c r="C189" t="s">
        <v>547</v>
      </c>
      <c r="D189" s="1">
        <v>28.28123664855957</v>
      </c>
      <c r="H189" s="14" t="s">
        <v>467</v>
      </c>
    </row>
    <row r="190" spans="1:8" x14ac:dyDescent="0.2">
      <c r="A190" t="s">
        <v>203</v>
      </c>
      <c r="B190" s="14" t="s">
        <v>468</v>
      </c>
      <c r="C190" t="s">
        <v>547</v>
      </c>
      <c r="D190" s="1">
        <v>28.340646743774414</v>
      </c>
      <c r="H190" s="14" t="s">
        <v>468</v>
      </c>
    </row>
    <row r="191" spans="1:8" x14ac:dyDescent="0.2">
      <c r="A191" t="s">
        <v>204</v>
      </c>
      <c r="B191" s="14" t="s">
        <v>469</v>
      </c>
      <c r="C191" t="s">
        <v>547</v>
      </c>
      <c r="D191" s="1">
        <v>28.295141220092773</v>
      </c>
      <c r="H191" s="14" t="s">
        <v>469</v>
      </c>
    </row>
    <row r="192" spans="1:8" x14ac:dyDescent="0.2">
      <c r="A192" t="s">
        <v>205</v>
      </c>
      <c r="B192" s="14" t="s">
        <v>470</v>
      </c>
      <c r="C192" t="s">
        <v>547</v>
      </c>
      <c r="D192" s="1">
        <v>28.304067611694336</v>
      </c>
      <c r="H192" s="14" t="s">
        <v>470</v>
      </c>
    </row>
    <row r="193" spans="1:8" x14ac:dyDescent="0.2">
      <c r="A193" t="s">
        <v>206</v>
      </c>
      <c r="B193" s="14" t="s">
        <v>471</v>
      </c>
      <c r="C193" t="s">
        <v>547</v>
      </c>
      <c r="D193" s="1">
        <v>28.200944900512695</v>
      </c>
      <c r="H193" s="14" t="s">
        <v>471</v>
      </c>
    </row>
    <row r="194" spans="1:8" x14ac:dyDescent="0.2">
      <c r="A194" t="s">
        <v>207</v>
      </c>
      <c r="B194" s="14" t="s">
        <v>472</v>
      </c>
      <c r="C194" t="s">
        <v>547</v>
      </c>
      <c r="D194" s="1">
        <v>28.277002334594727</v>
      </c>
      <c r="H194" s="14" t="s">
        <v>472</v>
      </c>
    </row>
    <row r="195" spans="1:8" x14ac:dyDescent="0.2">
      <c r="A195" t="s">
        <v>208</v>
      </c>
      <c r="B195" s="14" t="s">
        <v>473</v>
      </c>
      <c r="C195" t="s">
        <v>547</v>
      </c>
      <c r="D195" s="1">
        <v>28.381513595581055</v>
      </c>
      <c r="H195" s="14" t="s">
        <v>473</v>
      </c>
    </row>
    <row r="196" spans="1:8" x14ac:dyDescent="0.2">
      <c r="A196" t="s">
        <v>209</v>
      </c>
      <c r="B196" s="14" t="s">
        <v>474</v>
      </c>
      <c r="C196" t="s">
        <v>547</v>
      </c>
      <c r="D196" s="1">
        <v>28.114295959472656</v>
      </c>
      <c r="H196" s="14" t="s">
        <v>474</v>
      </c>
    </row>
    <row r="197" spans="1:8" x14ac:dyDescent="0.2">
      <c r="A197" t="s">
        <v>210</v>
      </c>
      <c r="B197" s="14" t="s">
        <v>475</v>
      </c>
      <c r="C197" t="s">
        <v>547</v>
      </c>
      <c r="D197" s="1">
        <v>28.371788024902344</v>
      </c>
      <c r="H197" s="14" t="s">
        <v>475</v>
      </c>
    </row>
    <row r="198" spans="1:8" x14ac:dyDescent="0.2">
      <c r="A198" t="s">
        <v>211</v>
      </c>
      <c r="B198" s="14" t="s">
        <v>476</v>
      </c>
      <c r="C198" t="s">
        <v>547</v>
      </c>
      <c r="D198" s="1">
        <v>28.183422088623047</v>
      </c>
      <c r="H198" s="14" t="s">
        <v>476</v>
      </c>
    </row>
    <row r="199" spans="1:8" x14ac:dyDescent="0.2">
      <c r="A199" t="s">
        <v>212</v>
      </c>
      <c r="B199" s="14" t="s">
        <v>477</v>
      </c>
      <c r="C199" t="s">
        <v>547</v>
      </c>
      <c r="D199" s="1">
        <v>28.098722457885742</v>
      </c>
      <c r="H199" s="14" t="s">
        <v>477</v>
      </c>
    </row>
    <row r="200" spans="1:8" x14ac:dyDescent="0.2">
      <c r="A200" t="s">
        <v>213</v>
      </c>
      <c r="B200" s="14" t="s">
        <v>478</v>
      </c>
      <c r="C200" t="s">
        <v>547</v>
      </c>
      <c r="D200" s="1">
        <v>27.94395637512207</v>
      </c>
      <c r="H200" s="14" t="s">
        <v>478</v>
      </c>
    </row>
    <row r="201" spans="1:8" x14ac:dyDescent="0.2">
      <c r="A201" t="s">
        <v>214</v>
      </c>
      <c r="B201" s="14" t="s">
        <v>479</v>
      </c>
      <c r="C201" t="s">
        <v>547</v>
      </c>
      <c r="D201" s="1">
        <v>28.254764556884766</v>
      </c>
      <c r="H201" s="14" t="s">
        <v>479</v>
      </c>
    </row>
    <row r="202" spans="1:8" x14ac:dyDescent="0.2">
      <c r="A202" t="s">
        <v>215</v>
      </c>
      <c r="B202" s="14" t="s">
        <v>480</v>
      </c>
      <c r="C202" t="s">
        <v>547</v>
      </c>
      <c r="D202" s="1">
        <v>28.268299102783203</v>
      </c>
      <c r="H202" s="14" t="s">
        <v>480</v>
      </c>
    </row>
    <row r="203" spans="1:8" x14ac:dyDescent="0.2">
      <c r="A203" t="s">
        <v>216</v>
      </c>
      <c r="B203" s="14" t="s">
        <v>481</v>
      </c>
      <c r="C203" t="s">
        <v>547</v>
      </c>
      <c r="D203" s="1">
        <v>28.256841659545898</v>
      </c>
      <c r="H203" s="14" t="s">
        <v>481</v>
      </c>
    </row>
    <row r="204" spans="1:8" x14ac:dyDescent="0.2">
      <c r="A204" t="s">
        <v>217</v>
      </c>
      <c r="B204" s="14" t="s">
        <v>482</v>
      </c>
      <c r="C204" t="s">
        <v>547</v>
      </c>
      <c r="D204" s="1">
        <v>28.42015266418457</v>
      </c>
      <c r="H204" s="14" t="s">
        <v>482</v>
      </c>
    </row>
    <row r="205" spans="1:8" x14ac:dyDescent="0.2">
      <c r="A205" t="s">
        <v>218</v>
      </c>
      <c r="B205" s="14" t="s">
        <v>483</v>
      </c>
      <c r="C205" t="s">
        <v>547</v>
      </c>
      <c r="D205" s="1">
        <v>28.241796493530273</v>
      </c>
      <c r="H205" s="14" t="s">
        <v>483</v>
      </c>
    </row>
    <row r="206" spans="1:8" x14ac:dyDescent="0.2">
      <c r="A206" t="s">
        <v>219</v>
      </c>
      <c r="B206" s="14" t="s">
        <v>484</v>
      </c>
      <c r="C206" t="s">
        <v>547</v>
      </c>
      <c r="D206" s="1">
        <v>28.424095153808594</v>
      </c>
      <c r="H206" s="14" t="s">
        <v>484</v>
      </c>
    </row>
    <row r="207" spans="1:8" x14ac:dyDescent="0.2">
      <c r="A207" t="s">
        <v>220</v>
      </c>
      <c r="B207" s="14" t="s">
        <v>485</v>
      </c>
      <c r="C207" t="s">
        <v>547</v>
      </c>
      <c r="D207" s="1">
        <v>28.12896728515625</v>
      </c>
      <c r="H207" s="14" t="s">
        <v>485</v>
      </c>
    </row>
    <row r="208" spans="1:8" x14ac:dyDescent="0.2">
      <c r="A208" t="s">
        <v>221</v>
      </c>
      <c r="B208" s="14" t="s">
        <v>486</v>
      </c>
      <c r="C208" t="s">
        <v>547</v>
      </c>
      <c r="D208" s="1">
        <v>28.043544769287109</v>
      </c>
      <c r="H208" s="14" t="s">
        <v>486</v>
      </c>
    </row>
    <row r="209" spans="1:8" x14ac:dyDescent="0.2">
      <c r="A209" t="s">
        <v>222</v>
      </c>
      <c r="B209" s="14" t="s">
        <v>487</v>
      </c>
      <c r="C209" t="s">
        <v>547</v>
      </c>
      <c r="D209" s="1">
        <v>28.052448272705078</v>
      </c>
      <c r="H209" s="14" t="s">
        <v>487</v>
      </c>
    </row>
    <row r="210" spans="1:8" x14ac:dyDescent="0.2">
      <c r="A210" t="s">
        <v>223</v>
      </c>
      <c r="B210" s="14" t="s">
        <v>488</v>
      </c>
      <c r="C210" t="s">
        <v>547</v>
      </c>
      <c r="D210" s="1">
        <v>28.002708435058594</v>
      </c>
      <c r="H210" s="14" t="s">
        <v>488</v>
      </c>
    </row>
    <row r="211" spans="1:8" x14ac:dyDescent="0.2">
      <c r="A211" t="s">
        <v>224</v>
      </c>
      <c r="B211" s="14" t="s">
        <v>489</v>
      </c>
      <c r="C211" t="s">
        <v>547</v>
      </c>
      <c r="D211" s="1">
        <v>27.602020263671875</v>
      </c>
      <c r="H211" s="14" t="s">
        <v>489</v>
      </c>
    </row>
    <row r="212" spans="1:8" x14ac:dyDescent="0.2">
      <c r="A212" t="s">
        <v>225</v>
      </c>
      <c r="B212" s="14" t="s">
        <v>490</v>
      </c>
      <c r="C212" t="s">
        <v>547</v>
      </c>
      <c r="D212" s="1">
        <v>27.954254150390625</v>
      </c>
      <c r="H212" s="14" t="s">
        <v>490</v>
      </c>
    </row>
    <row r="213" spans="1:8" x14ac:dyDescent="0.2">
      <c r="A213" t="s">
        <v>226</v>
      </c>
      <c r="B213" s="14" t="s">
        <v>491</v>
      </c>
      <c r="C213" t="s">
        <v>547</v>
      </c>
      <c r="D213" s="1">
        <v>28.250802993774414</v>
      </c>
      <c r="H213" s="14" t="s">
        <v>491</v>
      </c>
    </row>
    <row r="214" spans="1:8" x14ac:dyDescent="0.2">
      <c r="A214" t="s">
        <v>227</v>
      </c>
      <c r="B214" s="14" t="s">
        <v>492</v>
      </c>
      <c r="C214" t="s">
        <v>547</v>
      </c>
      <c r="D214" s="1">
        <v>28.019332885742188</v>
      </c>
      <c r="H214" s="14" t="s">
        <v>492</v>
      </c>
    </row>
    <row r="215" spans="1:8" x14ac:dyDescent="0.2">
      <c r="A215" t="s">
        <v>228</v>
      </c>
      <c r="B215" s="14" t="s">
        <v>493</v>
      </c>
      <c r="C215" t="s">
        <v>547</v>
      </c>
      <c r="D215" s="1">
        <v>28.28948974609375</v>
      </c>
      <c r="H215" s="14" t="s">
        <v>493</v>
      </c>
    </row>
    <row r="216" spans="1:8" x14ac:dyDescent="0.2">
      <c r="A216" t="s">
        <v>229</v>
      </c>
      <c r="B216" s="14" t="s">
        <v>494</v>
      </c>
      <c r="C216" t="s">
        <v>547</v>
      </c>
      <c r="D216" s="1">
        <v>28.865083694458008</v>
      </c>
      <c r="H216" s="14" t="s">
        <v>494</v>
      </c>
    </row>
    <row r="217" spans="1:8" x14ac:dyDescent="0.2">
      <c r="A217" t="s">
        <v>230</v>
      </c>
      <c r="B217" s="14" t="s">
        <v>495</v>
      </c>
      <c r="C217" t="s">
        <v>547</v>
      </c>
      <c r="D217" s="1">
        <v>28.550840377807617</v>
      </c>
      <c r="H217" s="14" t="s">
        <v>495</v>
      </c>
    </row>
    <row r="218" spans="1:8" x14ac:dyDescent="0.2">
      <c r="A218" t="s">
        <v>231</v>
      </c>
      <c r="B218" s="14" t="s">
        <v>496</v>
      </c>
      <c r="C218" t="s">
        <v>547</v>
      </c>
      <c r="D218" s="1">
        <v>28.768194198608398</v>
      </c>
      <c r="H218" s="14" t="s">
        <v>496</v>
      </c>
    </row>
    <row r="219" spans="1:8" x14ac:dyDescent="0.2">
      <c r="A219" t="s">
        <v>232</v>
      </c>
      <c r="B219" s="14" t="s">
        <v>497</v>
      </c>
      <c r="C219" t="s">
        <v>547</v>
      </c>
      <c r="D219" s="1">
        <v>30.91057014465332</v>
      </c>
      <c r="H219" s="14" t="s">
        <v>497</v>
      </c>
    </row>
    <row r="220" spans="1:8" x14ac:dyDescent="0.2">
      <c r="A220" t="s">
        <v>233</v>
      </c>
      <c r="B220" s="14" t="s">
        <v>498</v>
      </c>
      <c r="C220" t="s">
        <v>547</v>
      </c>
      <c r="D220" s="1">
        <v>30.699325561523438</v>
      </c>
      <c r="H220" s="14" t="s">
        <v>498</v>
      </c>
    </row>
    <row r="221" spans="1:8" x14ac:dyDescent="0.2">
      <c r="A221" t="s">
        <v>234</v>
      </c>
      <c r="B221" s="14" t="s">
        <v>499</v>
      </c>
      <c r="C221" t="s">
        <v>547</v>
      </c>
      <c r="D221" s="1">
        <v>30.462499618530273</v>
      </c>
      <c r="H221" s="14" t="s">
        <v>499</v>
      </c>
    </row>
    <row r="222" spans="1:8" x14ac:dyDescent="0.2">
      <c r="A222" t="s">
        <v>235</v>
      </c>
      <c r="B222" s="14" t="s">
        <v>500</v>
      </c>
      <c r="C222" t="s">
        <v>547</v>
      </c>
      <c r="D222" s="1">
        <v>28.552846908569336</v>
      </c>
      <c r="H222" s="14" t="s">
        <v>500</v>
      </c>
    </row>
    <row r="223" spans="1:8" x14ac:dyDescent="0.2">
      <c r="A223" t="s">
        <v>236</v>
      </c>
      <c r="B223" s="14" t="s">
        <v>501</v>
      </c>
      <c r="C223" t="s">
        <v>547</v>
      </c>
      <c r="D223" s="1">
        <v>27.669384002685547</v>
      </c>
      <c r="H223" s="14" t="s">
        <v>501</v>
      </c>
    </row>
    <row r="224" spans="1:8" x14ac:dyDescent="0.2">
      <c r="A224" t="s">
        <v>237</v>
      </c>
      <c r="B224" s="14" t="s">
        <v>502</v>
      </c>
      <c r="C224" t="s">
        <v>547</v>
      </c>
      <c r="D224" s="1">
        <v>27.611936569213867</v>
      </c>
      <c r="H224" s="14" t="s">
        <v>502</v>
      </c>
    </row>
    <row r="225" spans="1:8" x14ac:dyDescent="0.2">
      <c r="A225" t="s">
        <v>238</v>
      </c>
      <c r="B225" s="14" t="s">
        <v>503</v>
      </c>
      <c r="C225" t="s">
        <v>547</v>
      </c>
      <c r="D225" s="1">
        <v>27.974739074707031</v>
      </c>
      <c r="H225" s="14" t="s">
        <v>503</v>
      </c>
    </row>
    <row r="226" spans="1:8" x14ac:dyDescent="0.2">
      <c r="A226" t="s">
        <v>239</v>
      </c>
      <c r="B226" s="14" t="s">
        <v>504</v>
      </c>
      <c r="C226" t="s">
        <v>547</v>
      </c>
      <c r="D226" s="1">
        <v>27.544214248657227</v>
      </c>
      <c r="H226" s="14" t="s">
        <v>504</v>
      </c>
    </row>
    <row r="227" spans="1:8" x14ac:dyDescent="0.2">
      <c r="A227" t="s">
        <v>240</v>
      </c>
      <c r="B227" s="14" t="s">
        <v>505</v>
      </c>
      <c r="C227" t="s">
        <v>547</v>
      </c>
      <c r="D227" s="1">
        <v>27.558191299438477</v>
      </c>
      <c r="H227" s="14" t="s">
        <v>505</v>
      </c>
    </row>
    <row r="228" spans="1:8" x14ac:dyDescent="0.2">
      <c r="A228" t="s">
        <v>241</v>
      </c>
      <c r="B228" s="14" t="s">
        <v>506</v>
      </c>
      <c r="C228" t="s">
        <v>547</v>
      </c>
      <c r="D228" s="1">
        <v>28.547279357910156</v>
      </c>
      <c r="H228" s="14" t="s">
        <v>506</v>
      </c>
    </row>
    <row r="229" spans="1:8" x14ac:dyDescent="0.2">
      <c r="A229" t="s">
        <v>242</v>
      </c>
      <c r="B229" s="14" t="s">
        <v>507</v>
      </c>
      <c r="C229" t="s">
        <v>547</v>
      </c>
      <c r="D229" s="1">
        <v>28.368305206298828</v>
      </c>
      <c r="H229" s="14" t="s">
        <v>507</v>
      </c>
    </row>
    <row r="230" spans="1:8" x14ac:dyDescent="0.2">
      <c r="A230" t="s">
        <v>243</v>
      </c>
      <c r="B230" s="14" t="s">
        <v>508</v>
      </c>
      <c r="C230" t="s">
        <v>547</v>
      </c>
      <c r="D230" s="1">
        <v>28.490493774414063</v>
      </c>
      <c r="H230" s="14" t="s">
        <v>508</v>
      </c>
    </row>
    <row r="231" spans="1:8" x14ac:dyDescent="0.2">
      <c r="A231" t="s">
        <v>244</v>
      </c>
      <c r="B231" s="14" t="s">
        <v>509</v>
      </c>
      <c r="C231" t="s">
        <v>547</v>
      </c>
      <c r="D231" s="1">
        <v>29.775333404541016</v>
      </c>
      <c r="H231" s="14" t="s">
        <v>509</v>
      </c>
    </row>
    <row r="232" spans="1:8" x14ac:dyDescent="0.2">
      <c r="A232" t="s">
        <v>245</v>
      </c>
      <c r="B232" s="14" t="s">
        <v>510</v>
      </c>
      <c r="C232" t="s">
        <v>547</v>
      </c>
      <c r="D232" s="1">
        <v>29.382528305053711</v>
      </c>
      <c r="H232" s="14" t="s">
        <v>510</v>
      </c>
    </row>
    <row r="233" spans="1:8" x14ac:dyDescent="0.2">
      <c r="A233" t="s">
        <v>246</v>
      </c>
      <c r="B233" s="14" t="s">
        <v>511</v>
      </c>
      <c r="C233" t="s">
        <v>547</v>
      </c>
      <c r="D233" s="1">
        <v>29.460515975952148</v>
      </c>
      <c r="H233" s="14" t="s">
        <v>511</v>
      </c>
    </row>
    <row r="234" spans="1:8" x14ac:dyDescent="0.2">
      <c r="A234" t="s">
        <v>247</v>
      </c>
      <c r="B234" s="14" t="s">
        <v>512</v>
      </c>
      <c r="C234" t="s">
        <v>547</v>
      </c>
      <c r="D234" s="1">
        <v>28.396236419677734</v>
      </c>
      <c r="H234" s="14" t="s">
        <v>512</v>
      </c>
    </row>
    <row r="235" spans="1:8" x14ac:dyDescent="0.2">
      <c r="A235" t="s">
        <v>248</v>
      </c>
      <c r="B235" s="14" t="s">
        <v>513</v>
      </c>
      <c r="C235" t="s">
        <v>547</v>
      </c>
      <c r="D235" s="1">
        <v>28.243886947631836</v>
      </c>
      <c r="H235" s="14" t="s">
        <v>513</v>
      </c>
    </row>
    <row r="236" spans="1:8" x14ac:dyDescent="0.2">
      <c r="A236" t="s">
        <v>249</v>
      </c>
      <c r="B236" s="14" t="s">
        <v>514</v>
      </c>
      <c r="C236" t="s">
        <v>547</v>
      </c>
      <c r="D236" s="1">
        <v>28.249008178710938</v>
      </c>
      <c r="H236" s="14" t="s">
        <v>514</v>
      </c>
    </row>
    <row r="237" spans="1:8" x14ac:dyDescent="0.2">
      <c r="A237" t="s">
        <v>250</v>
      </c>
      <c r="B237" s="14" t="s">
        <v>515</v>
      </c>
      <c r="C237" t="s">
        <v>547</v>
      </c>
      <c r="D237" s="1">
        <v>27.328292846679688</v>
      </c>
      <c r="H237" s="14" t="s">
        <v>515</v>
      </c>
    </row>
    <row r="238" spans="1:8" x14ac:dyDescent="0.2">
      <c r="A238" t="s">
        <v>251</v>
      </c>
      <c r="B238" s="14" t="s">
        <v>516</v>
      </c>
      <c r="C238" t="s">
        <v>547</v>
      </c>
      <c r="D238" s="1">
        <v>27.451528549194336</v>
      </c>
      <c r="H238" s="14" t="s">
        <v>516</v>
      </c>
    </row>
    <row r="239" spans="1:8" x14ac:dyDescent="0.2">
      <c r="A239" t="s">
        <v>252</v>
      </c>
      <c r="B239" s="14" t="s">
        <v>517</v>
      </c>
      <c r="C239" t="s">
        <v>547</v>
      </c>
      <c r="D239" s="1">
        <v>27.252462387084961</v>
      </c>
      <c r="H239" s="14" t="s">
        <v>517</v>
      </c>
    </row>
    <row r="240" spans="1:8" x14ac:dyDescent="0.2">
      <c r="A240" t="s">
        <v>253</v>
      </c>
      <c r="B240" s="14" t="s">
        <v>518</v>
      </c>
      <c r="C240" t="s">
        <v>547</v>
      </c>
      <c r="D240" t="s">
        <v>55</v>
      </c>
      <c r="H240" s="14" t="s">
        <v>518</v>
      </c>
    </row>
    <row r="241" spans="1:8" x14ac:dyDescent="0.2">
      <c r="A241" t="s">
        <v>254</v>
      </c>
      <c r="B241" s="14" t="s">
        <v>519</v>
      </c>
      <c r="C241" t="s">
        <v>547</v>
      </c>
      <c r="D241" t="s">
        <v>55</v>
      </c>
      <c r="H241" s="14" t="s">
        <v>519</v>
      </c>
    </row>
    <row r="242" spans="1:8" x14ac:dyDescent="0.2">
      <c r="A242" t="s">
        <v>255</v>
      </c>
      <c r="B242" s="14" t="s">
        <v>520</v>
      </c>
      <c r="C242" t="s">
        <v>547</v>
      </c>
      <c r="D242" t="s">
        <v>55</v>
      </c>
      <c r="H242" s="14" t="s">
        <v>520</v>
      </c>
    </row>
    <row r="243" spans="1:8" x14ac:dyDescent="0.2">
      <c r="A243" t="s">
        <v>256</v>
      </c>
      <c r="B243" s="14" t="s">
        <v>521</v>
      </c>
      <c r="C243" t="s">
        <v>547</v>
      </c>
      <c r="D243" s="1">
        <v>27.996177673339844</v>
      </c>
      <c r="H243" s="14" t="s">
        <v>521</v>
      </c>
    </row>
    <row r="244" spans="1:8" x14ac:dyDescent="0.2">
      <c r="A244" t="s">
        <v>257</v>
      </c>
      <c r="B244" s="14" t="s">
        <v>522</v>
      </c>
      <c r="C244" t="s">
        <v>547</v>
      </c>
      <c r="D244" s="1">
        <v>28.183353424072266</v>
      </c>
      <c r="H244" s="14" t="s">
        <v>522</v>
      </c>
    </row>
    <row r="245" spans="1:8" x14ac:dyDescent="0.2">
      <c r="A245" t="s">
        <v>258</v>
      </c>
      <c r="B245" s="14" t="s">
        <v>523</v>
      </c>
      <c r="C245" t="s">
        <v>547</v>
      </c>
      <c r="D245" s="1">
        <v>28.194511413574219</v>
      </c>
      <c r="H245" s="14" t="s">
        <v>523</v>
      </c>
    </row>
    <row r="246" spans="1:8" x14ac:dyDescent="0.2">
      <c r="A246" t="s">
        <v>259</v>
      </c>
      <c r="B246" s="14" t="s">
        <v>524</v>
      </c>
      <c r="C246" t="s">
        <v>547</v>
      </c>
      <c r="D246" s="1">
        <v>32.997104644775391</v>
      </c>
      <c r="H246" s="14" t="s">
        <v>524</v>
      </c>
    </row>
    <row r="247" spans="1:8" x14ac:dyDescent="0.2">
      <c r="A247" t="s">
        <v>260</v>
      </c>
      <c r="B247" s="14" t="s">
        <v>525</v>
      </c>
      <c r="C247" t="s">
        <v>547</v>
      </c>
      <c r="D247" s="1">
        <v>33.068977355957031</v>
      </c>
      <c r="H247" s="14" t="s">
        <v>525</v>
      </c>
    </row>
    <row r="248" spans="1:8" x14ac:dyDescent="0.2">
      <c r="A248" t="s">
        <v>261</v>
      </c>
      <c r="B248" s="14" t="s">
        <v>526</v>
      </c>
      <c r="C248" t="s">
        <v>547</v>
      </c>
      <c r="D248" s="1">
        <v>32.566596984863281</v>
      </c>
      <c r="H248" s="14" t="s">
        <v>526</v>
      </c>
    </row>
    <row r="249" spans="1:8" x14ac:dyDescent="0.2">
      <c r="A249" t="s">
        <v>262</v>
      </c>
      <c r="B249" s="14" t="s">
        <v>527</v>
      </c>
      <c r="C249" t="s">
        <v>547</v>
      </c>
      <c r="D249" s="1">
        <v>28.105304718017578</v>
      </c>
      <c r="H249" s="14" t="s">
        <v>527</v>
      </c>
    </row>
    <row r="250" spans="1:8" x14ac:dyDescent="0.2">
      <c r="A250" t="s">
        <v>263</v>
      </c>
      <c r="B250" s="14" t="s">
        <v>528</v>
      </c>
      <c r="C250" t="s">
        <v>547</v>
      </c>
      <c r="D250" s="1">
        <v>28.125528335571289</v>
      </c>
      <c r="H250" s="14" t="s">
        <v>528</v>
      </c>
    </row>
    <row r="251" spans="1:8" x14ac:dyDescent="0.2">
      <c r="A251" t="s">
        <v>264</v>
      </c>
      <c r="B251" s="14" t="s">
        <v>529</v>
      </c>
      <c r="C251" t="s">
        <v>547</v>
      </c>
      <c r="D251" s="1">
        <v>28.07789421081543</v>
      </c>
      <c r="H251" s="14" t="s">
        <v>529</v>
      </c>
    </row>
    <row r="252" spans="1:8" x14ac:dyDescent="0.2">
      <c r="A252" t="s">
        <v>265</v>
      </c>
      <c r="B252" s="14" t="s">
        <v>530</v>
      </c>
      <c r="C252" t="s">
        <v>547</v>
      </c>
      <c r="D252" s="1">
        <v>28.108480453491211</v>
      </c>
      <c r="H252" s="14" t="s">
        <v>530</v>
      </c>
    </row>
    <row r="253" spans="1:8" x14ac:dyDescent="0.2">
      <c r="A253" t="s">
        <v>266</v>
      </c>
      <c r="B253" s="14" t="s">
        <v>531</v>
      </c>
      <c r="C253" t="s">
        <v>547</v>
      </c>
      <c r="D253" s="1">
        <v>27.855861663818359</v>
      </c>
      <c r="H253" s="14" t="s">
        <v>531</v>
      </c>
    </row>
    <row r="254" spans="1:8" x14ac:dyDescent="0.2">
      <c r="A254" t="s">
        <v>267</v>
      </c>
      <c r="B254" s="14" t="s">
        <v>532</v>
      </c>
      <c r="C254" t="s">
        <v>547</v>
      </c>
      <c r="D254" s="1">
        <v>27.866540908813477</v>
      </c>
      <c r="H254" s="14" t="s">
        <v>532</v>
      </c>
    </row>
    <row r="255" spans="1:8" x14ac:dyDescent="0.2">
      <c r="A255" t="s">
        <v>268</v>
      </c>
      <c r="B255" s="14" t="s">
        <v>533</v>
      </c>
      <c r="C255" t="s">
        <v>547</v>
      </c>
      <c r="D255" s="1">
        <v>27.93328857421875</v>
      </c>
      <c r="H255" s="14" t="s">
        <v>533</v>
      </c>
    </row>
    <row r="256" spans="1:8" x14ac:dyDescent="0.2">
      <c r="A256" t="s">
        <v>269</v>
      </c>
      <c r="B256" s="14" t="s">
        <v>534</v>
      </c>
      <c r="C256" t="s">
        <v>547</v>
      </c>
      <c r="D256" s="1">
        <v>27.929313659667969</v>
      </c>
      <c r="H256" s="14" t="s">
        <v>534</v>
      </c>
    </row>
    <row r="257" spans="1:8" x14ac:dyDescent="0.2">
      <c r="A257" t="s">
        <v>270</v>
      </c>
      <c r="B257" s="14" t="s">
        <v>535</v>
      </c>
      <c r="C257" t="s">
        <v>547</v>
      </c>
      <c r="D257" s="1">
        <v>27.860876083374023</v>
      </c>
      <c r="H257" s="14" t="s">
        <v>535</v>
      </c>
    </row>
    <row r="258" spans="1:8" x14ac:dyDescent="0.2">
      <c r="A258" t="s">
        <v>271</v>
      </c>
      <c r="B258" s="14" t="s">
        <v>536</v>
      </c>
      <c r="C258" t="s">
        <v>547</v>
      </c>
      <c r="D258" s="1">
        <v>27.777570724487305</v>
      </c>
      <c r="H258" s="14" t="s">
        <v>536</v>
      </c>
    </row>
    <row r="259" spans="1:8" x14ac:dyDescent="0.2">
      <c r="A259" t="s">
        <v>272</v>
      </c>
      <c r="B259" s="14" t="s">
        <v>537</v>
      </c>
      <c r="C259" t="s">
        <v>547</v>
      </c>
      <c r="D259" s="1">
        <v>27.528530120849609</v>
      </c>
      <c r="H259" s="14" t="s">
        <v>537</v>
      </c>
    </row>
    <row r="260" spans="1:8" x14ac:dyDescent="0.2">
      <c r="A260" t="s">
        <v>273</v>
      </c>
      <c r="B260" s="14" t="s">
        <v>538</v>
      </c>
      <c r="C260" t="s">
        <v>547</v>
      </c>
      <c r="D260" s="1">
        <v>27.780685424804688</v>
      </c>
      <c r="H260" s="14" t="s">
        <v>538</v>
      </c>
    </row>
    <row r="261" spans="1:8" x14ac:dyDescent="0.2">
      <c r="A261" t="s">
        <v>274</v>
      </c>
      <c r="B261" s="14" t="s">
        <v>539</v>
      </c>
      <c r="C261" t="s">
        <v>547</v>
      </c>
      <c r="D261" s="1">
        <v>28.359348297119141</v>
      </c>
      <c r="H261" s="14" t="s">
        <v>539</v>
      </c>
    </row>
    <row r="262" spans="1:8" x14ac:dyDescent="0.2">
      <c r="A262" t="s">
        <v>275</v>
      </c>
      <c r="B262" s="14" t="s">
        <v>540</v>
      </c>
      <c r="C262" t="s">
        <v>547</v>
      </c>
      <c r="D262" s="1">
        <v>28.113567352294922</v>
      </c>
      <c r="H262" s="14" t="s">
        <v>540</v>
      </c>
    </row>
    <row r="263" spans="1:8" x14ac:dyDescent="0.2">
      <c r="A263" t="s">
        <v>276</v>
      </c>
      <c r="B263" s="14" t="s">
        <v>541</v>
      </c>
      <c r="C263" t="s">
        <v>547</v>
      </c>
      <c r="D263" s="1">
        <v>28.254659652709961</v>
      </c>
      <c r="H263" s="14" t="s">
        <v>541</v>
      </c>
    </row>
    <row r="264" spans="1:8" x14ac:dyDescent="0.2">
      <c r="A264" t="s">
        <v>277</v>
      </c>
      <c r="B264" s="3" t="s">
        <v>457</v>
      </c>
      <c r="C264" t="s">
        <v>547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547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547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547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547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547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547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547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547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547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547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547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547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547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547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547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547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547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548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548</v>
      </c>
      <c r="D283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548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548</v>
      </c>
      <c r="D285" s="1">
        <v>26.883783340454102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548</v>
      </c>
      <c r="D286" s="1">
        <v>26.903465270996094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548</v>
      </c>
      <c r="D287" s="1">
        <v>26.816188812255859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548</v>
      </c>
      <c r="D288" s="1">
        <v>28.878068923950195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548</v>
      </c>
      <c r="D289" s="1">
        <v>27.949647903442383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548</v>
      </c>
      <c r="D290" s="1">
        <v>27.938383102416992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548</v>
      </c>
      <c r="D291" s="1">
        <v>28.773662567138672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548</v>
      </c>
      <c r="D292" s="1">
        <v>28.815452575683594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548</v>
      </c>
      <c r="D293" s="1">
        <v>28.757696151733398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548</v>
      </c>
      <c r="D294" s="1">
        <v>29.707918167114258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548</v>
      </c>
      <c r="D295" s="1">
        <v>29.267429351806641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548</v>
      </c>
      <c r="D296" s="1">
        <v>29.865154266357422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548</v>
      </c>
      <c r="D297" s="1">
        <v>30.961507797241211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548</v>
      </c>
      <c r="D298" s="1">
        <v>30.940216064453125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548</v>
      </c>
      <c r="D299" s="1">
        <v>30.923282623291016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548</v>
      </c>
      <c r="D300" s="1">
        <v>32.266349792480469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548</v>
      </c>
      <c r="D301" s="1">
        <v>31.963344573974609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548</v>
      </c>
      <c r="D302" s="1">
        <v>32.109626770019531</v>
      </c>
      <c r="H302" s="3" t="s">
        <v>435</v>
      </c>
    </row>
    <row r="303" spans="1:8" x14ac:dyDescent="0.2">
      <c r="A303" t="s">
        <v>316</v>
      </c>
      <c r="B303" s="14" t="s">
        <v>461</v>
      </c>
      <c r="C303" t="s">
        <v>548</v>
      </c>
      <c r="D303" s="1">
        <v>28.828695297241211</v>
      </c>
      <c r="H303" s="14" t="s">
        <v>461</v>
      </c>
    </row>
    <row r="304" spans="1:8" x14ac:dyDescent="0.2">
      <c r="A304" t="s">
        <v>317</v>
      </c>
      <c r="B304" s="14" t="s">
        <v>462</v>
      </c>
      <c r="C304" t="s">
        <v>548</v>
      </c>
      <c r="D304" s="1">
        <v>28.771291732788086</v>
      </c>
      <c r="H304" s="14" t="s">
        <v>462</v>
      </c>
    </row>
    <row r="305" spans="1:8" x14ac:dyDescent="0.2">
      <c r="A305" t="s">
        <v>318</v>
      </c>
      <c r="B305" s="14" t="s">
        <v>463</v>
      </c>
      <c r="C305" t="s">
        <v>548</v>
      </c>
      <c r="D305" s="1">
        <v>28.643827438354492</v>
      </c>
      <c r="H305" s="14" t="s">
        <v>463</v>
      </c>
    </row>
    <row r="306" spans="1:8" x14ac:dyDescent="0.2">
      <c r="A306" t="s">
        <v>319</v>
      </c>
      <c r="B306" s="14" t="s">
        <v>464</v>
      </c>
      <c r="C306" t="s">
        <v>548</v>
      </c>
      <c r="D306" s="1">
        <v>29.06245231628418</v>
      </c>
      <c r="H306" s="14" t="s">
        <v>464</v>
      </c>
    </row>
    <row r="307" spans="1:8" x14ac:dyDescent="0.2">
      <c r="A307" t="s">
        <v>320</v>
      </c>
      <c r="B307" s="14" t="s">
        <v>465</v>
      </c>
      <c r="C307" t="s">
        <v>548</v>
      </c>
      <c r="D307" s="1">
        <v>29.024471282958984</v>
      </c>
      <c r="H307" s="14" t="s">
        <v>465</v>
      </c>
    </row>
    <row r="308" spans="1:8" x14ac:dyDescent="0.2">
      <c r="A308" t="s">
        <v>321</v>
      </c>
      <c r="B308" s="14" t="s">
        <v>466</v>
      </c>
      <c r="C308" t="s">
        <v>548</v>
      </c>
      <c r="D308" s="1">
        <v>28.874233245849609</v>
      </c>
      <c r="H308" s="14" t="s">
        <v>466</v>
      </c>
    </row>
    <row r="309" spans="1:8" x14ac:dyDescent="0.2">
      <c r="A309" t="s">
        <v>322</v>
      </c>
      <c r="B309" s="14" t="s">
        <v>467</v>
      </c>
      <c r="C309" t="s">
        <v>548</v>
      </c>
      <c r="D309" s="1">
        <v>28.659177780151367</v>
      </c>
      <c r="H309" s="14" t="s">
        <v>467</v>
      </c>
    </row>
    <row r="310" spans="1:8" x14ac:dyDescent="0.2">
      <c r="A310" t="s">
        <v>323</v>
      </c>
      <c r="B310" s="14" t="s">
        <v>468</v>
      </c>
      <c r="C310" t="s">
        <v>548</v>
      </c>
      <c r="D310" s="1">
        <v>28.721864700317383</v>
      </c>
      <c r="H310" s="14" t="s">
        <v>468</v>
      </c>
    </row>
    <row r="311" spans="1:8" x14ac:dyDescent="0.2">
      <c r="A311" t="s">
        <v>324</v>
      </c>
      <c r="B311" s="14" t="s">
        <v>469</v>
      </c>
      <c r="C311" t="s">
        <v>548</v>
      </c>
      <c r="D311" s="1">
        <v>28.601436614990234</v>
      </c>
      <c r="H311" s="14" t="s">
        <v>469</v>
      </c>
    </row>
    <row r="312" spans="1:8" x14ac:dyDescent="0.2">
      <c r="A312" t="s">
        <v>325</v>
      </c>
      <c r="B312" s="14" t="s">
        <v>470</v>
      </c>
      <c r="C312" t="s">
        <v>548</v>
      </c>
      <c r="D312" s="1">
        <v>28.760307312011719</v>
      </c>
      <c r="H312" s="14" t="s">
        <v>470</v>
      </c>
    </row>
    <row r="313" spans="1:8" x14ac:dyDescent="0.2">
      <c r="A313" t="s">
        <v>326</v>
      </c>
      <c r="B313" s="14" t="s">
        <v>471</v>
      </c>
      <c r="C313" t="s">
        <v>548</v>
      </c>
      <c r="D313" s="1">
        <v>28.725587844848633</v>
      </c>
      <c r="H313" s="14" t="s">
        <v>471</v>
      </c>
    </row>
    <row r="314" spans="1:8" x14ac:dyDescent="0.2">
      <c r="A314" t="s">
        <v>327</v>
      </c>
      <c r="B314" s="14" t="s">
        <v>472</v>
      </c>
      <c r="C314" t="s">
        <v>548</v>
      </c>
      <c r="D314" s="1">
        <v>28.905755996704102</v>
      </c>
      <c r="H314" s="14" t="s">
        <v>472</v>
      </c>
    </row>
    <row r="315" spans="1:8" x14ac:dyDescent="0.2">
      <c r="A315" t="s">
        <v>328</v>
      </c>
      <c r="B315" s="14" t="s">
        <v>473</v>
      </c>
      <c r="C315" t="s">
        <v>548</v>
      </c>
      <c r="D315" s="1">
        <v>29.07844352722168</v>
      </c>
      <c r="H315" s="14" t="s">
        <v>473</v>
      </c>
    </row>
    <row r="316" spans="1:8" x14ac:dyDescent="0.2">
      <c r="A316" t="s">
        <v>329</v>
      </c>
      <c r="B316" s="14" t="s">
        <v>474</v>
      </c>
      <c r="C316" t="s">
        <v>548</v>
      </c>
      <c r="D316" s="1">
        <v>28.677223205566406</v>
      </c>
      <c r="H316" s="14" t="s">
        <v>474</v>
      </c>
    </row>
    <row r="317" spans="1:8" x14ac:dyDescent="0.2">
      <c r="A317" t="s">
        <v>330</v>
      </c>
      <c r="B317" s="14" t="s">
        <v>475</v>
      </c>
      <c r="C317" t="s">
        <v>548</v>
      </c>
      <c r="D317" s="1">
        <v>28.971981048583984</v>
      </c>
      <c r="H317" s="14" t="s">
        <v>475</v>
      </c>
    </row>
    <row r="318" spans="1:8" x14ac:dyDescent="0.2">
      <c r="A318" t="s">
        <v>331</v>
      </c>
      <c r="B318" s="14" t="s">
        <v>476</v>
      </c>
      <c r="C318" t="s">
        <v>548</v>
      </c>
      <c r="D318" s="1">
        <v>28.947969436645508</v>
      </c>
      <c r="H318" s="14" t="s">
        <v>476</v>
      </c>
    </row>
    <row r="319" spans="1:8" x14ac:dyDescent="0.2">
      <c r="A319" t="s">
        <v>332</v>
      </c>
      <c r="B319" s="14" t="s">
        <v>477</v>
      </c>
      <c r="C319" t="s">
        <v>548</v>
      </c>
      <c r="D319" s="1">
        <v>28.514455795288086</v>
      </c>
      <c r="H319" s="14" t="s">
        <v>477</v>
      </c>
    </row>
    <row r="320" spans="1:8" x14ac:dyDescent="0.2">
      <c r="A320" t="s">
        <v>333</v>
      </c>
      <c r="B320" s="14" t="s">
        <v>478</v>
      </c>
      <c r="C320" t="s">
        <v>548</v>
      </c>
      <c r="D320" s="1">
        <v>28.785009384155273</v>
      </c>
      <c r="H320" s="14" t="s">
        <v>478</v>
      </c>
    </row>
    <row r="321" spans="1:8" x14ac:dyDescent="0.2">
      <c r="A321" t="s">
        <v>334</v>
      </c>
      <c r="B321" s="14" t="s">
        <v>479</v>
      </c>
      <c r="C321" t="s">
        <v>548</v>
      </c>
      <c r="D321" s="1">
        <v>28.654354095458984</v>
      </c>
      <c r="H321" s="14" t="s">
        <v>479</v>
      </c>
    </row>
    <row r="322" spans="1:8" x14ac:dyDescent="0.2">
      <c r="A322" t="s">
        <v>335</v>
      </c>
      <c r="B322" s="14" t="s">
        <v>480</v>
      </c>
      <c r="C322" t="s">
        <v>548</v>
      </c>
      <c r="D322" s="1">
        <v>28.910610198974609</v>
      </c>
      <c r="H322" s="14" t="s">
        <v>480</v>
      </c>
    </row>
    <row r="323" spans="1:8" x14ac:dyDescent="0.2">
      <c r="A323" t="s">
        <v>336</v>
      </c>
      <c r="B323" s="14" t="s">
        <v>481</v>
      </c>
      <c r="C323" t="s">
        <v>548</v>
      </c>
      <c r="D323" s="1">
        <v>28.943416595458984</v>
      </c>
      <c r="H323" s="14" t="s">
        <v>481</v>
      </c>
    </row>
    <row r="324" spans="1:8" x14ac:dyDescent="0.2">
      <c r="A324" t="s">
        <v>337</v>
      </c>
      <c r="B324" s="14" t="s">
        <v>482</v>
      </c>
      <c r="C324" t="s">
        <v>548</v>
      </c>
      <c r="D324" s="1">
        <v>28.886953353881836</v>
      </c>
      <c r="H324" s="14" t="s">
        <v>482</v>
      </c>
    </row>
    <row r="325" spans="1:8" x14ac:dyDescent="0.2">
      <c r="A325" t="s">
        <v>338</v>
      </c>
      <c r="B325" s="14" t="s">
        <v>483</v>
      </c>
      <c r="C325" t="s">
        <v>548</v>
      </c>
      <c r="D325" s="1">
        <v>28.937820434570313</v>
      </c>
      <c r="H325" s="14" t="s">
        <v>483</v>
      </c>
    </row>
    <row r="326" spans="1:8" x14ac:dyDescent="0.2">
      <c r="A326" t="s">
        <v>339</v>
      </c>
      <c r="B326" s="14" t="s">
        <v>484</v>
      </c>
      <c r="C326" t="s">
        <v>548</v>
      </c>
      <c r="D326" s="1">
        <v>28.96562385559082</v>
      </c>
      <c r="H326" s="14" t="s">
        <v>484</v>
      </c>
    </row>
    <row r="327" spans="1:8" x14ac:dyDescent="0.2">
      <c r="A327" t="s">
        <v>340</v>
      </c>
      <c r="B327" s="14" t="s">
        <v>485</v>
      </c>
      <c r="C327" t="s">
        <v>548</v>
      </c>
      <c r="D327" s="1">
        <v>28.869243621826172</v>
      </c>
      <c r="H327" s="14" t="s">
        <v>485</v>
      </c>
    </row>
    <row r="328" spans="1:8" x14ac:dyDescent="0.2">
      <c r="A328" t="s">
        <v>341</v>
      </c>
      <c r="B328" s="14" t="s">
        <v>486</v>
      </c>
      <c r="C328" t="s">
        <v>548</v>
      </c>
      <c r="D328" s="1">
        <v>28.721040725708008</v>
      </c>
      <c r="H328" s="14" t="s">
        <v>486</v>
      </c>
    </row>
    <row r="329" spans="1:8" x14ac:dyDescent="0.2">
      <c r="A329" t="s">
        <v>342</v>
      </c>
      <c r="B329" s="14" t="s">
        <v>487</v>
      </c>
      <c r="C329" t="s">
        <v>548</v>
      </c>
      <c r="D329" s="1">
        <v>28.585042953491211</v>
      </c>
      <c r="H329" s="14" t="s">
        <v>487</v>
      </c>
    </row>
    <row r="330" spans="1:8" x14ac:dyDescent="0.2">
      <c r="A330" t="s">
        <v>343</v>
      </c>
      <c r="B330" s="14" t="s">
        <v>488</v>
      </c>
      <c r="C330" t="s">
        <v>548</v>
      </c>
      <c r="D330" s="1">
        <v>28.483612060546875</v>
      </c>
      <c r="H330" s="14" t="s">
        <v>488</v>
      </c>
    </row>
    <row r="331" spans="1:8" x14ac:dyDescent="0.2">
      <c r="A331" t="s">
        <v>344</v>
      </c>
      <c r="B331" s="14" t="s">
        <v>489</v>
      </c>
      <c r="C331" t="s">
        <v>548</v>
      </c>
      <c r="D331" s="1">
        <v>28.490575790405273</v>
      </c>
      <c r="H331" s="14" t="s">
        <v>489</v>
      </c>
    </row>
    <row r="332" spans="1:8" x14ac:dyDescent="0.2">
      <c r="A332" t="s">
        <v>345</v>
      </c>
      <c r="B332" s="14" t="s">
        <v>490</v>
      </c>
      <c r="C332" t="s">
        <v>548</v>
      </c>
      <c r="D332" s="1">
        <v>28.316085815429688</v>
      </c>
      <c r="H332" s="14" t="s">
        <v>490</v>
      </c>
    </row>
    <row r="333" spans="1:8" x14ac:dyDescent="0.2">
      <c r="A333" t="s">
        <v>346</v>
      </c>
      <c r="B333" s="14" t="s">
        <v>491</v>
      </c>
      <c r="C333" t="s">
        <v>548</v>
      </c>
      <c r="D333" s="1">
        <v>28.82012939453125</v>
      </c>
      <c r="H333" s="14" t="s">
        <v>491</v>
      </c>
    </row>
    <row r="334" spans="1:8" x14ac:dyDescent="0.2">
      <c r="A334" t="s">
        <v>347</v>
      </c>
      <c r="B334" s="14" t="s">
        <v>492</v>
      </c>
      <c r="C334" t="s">
        <v>548</v>
      </c>
      <c r="D334" s="1">
        <v>28.533899307250977</v>
      </c>
      <c r="H334" s="14" t="s">
        <v>492</v>
      </c>
    </row>
    <row r="335" spans="1:8" x14ac:dyDescent="0.2">
      <c r="A335" t="s">
        <v>348</v>
      </c>
      <c r="B335" s="14" t="s">
        <v>493</v>
      </c>
      <c r="C335" t="s">
        <v>548</v>
      </c>
      <c r="D335" s="1">
        <v>28.572088241577148</v>
      </c>
      <c r="H335" s="14" t="s">
        <v>493</v>
      </c>
    </row>
    <row r="336" spans="1:8" x14ac:dyDescent="0.2">
      <c r="A336" t="s">
        <v>349</v>
      </c>
      <c r="B336" s="14" t="s">
        <v>494</v>
      </c>
      <c r="C336" t="s">
        <v>548</v>
      </c>
      <c r="D336" s="1">
        <v>28.883010864257813</v>
      </c>
      <c r="H336" s="14" t="s">
        <v>494</v>
      </c>
    </row>
    <row r="337" spans="1:8" x14ac:dyDescent="0.2">
      <c r="A337" t="s">
        <v>350</v>
      </c>
      <c r="B337" s="14" t="s">
        <v>495</v>
      </c>
      <c r="C337" t="s">
        <v>548</v>
      </c>
      <c r="D337" s="1">
        <v>28.781858444213867</v>
      </c>
      <c r="H337" s="14" t="s">
        <v>495</v>
      </c>
    </row>
    <row r="338" spans="1:8" x14ac:dyDescent="0.2">
      <c r="A338" t="s">
        <v>351</v>
      </c>
      <c r="B338" s="14" t="s">
        <v>496</v>
      </c>
      <c r="C338" t="s">
        <v>548</v>
      </c>
      <c r="D338" s="1">
        <v>28.853490829467773</v>
      </c>
      <c r="H338" s="14" t="s">
        <v>496</v>
      </c>
    </row>
    <row r="339" spans="1:8" x14ac:dyDescent="0.2">
      <c r="A339" t="s">
        <v>352</v>
      </c>
      <c r="B339" s="14" t="s">
        <v>497</v>
      </c>
      <c r="C339" t="s">
        <v>548</v>
      </c>
      <c r="D339" s="1">
        <v>30.997495651245117</v>
      </c>
      <c r="H339" s="14" t="s">
        <v>497</v>
      </c>
    </row>
    <row r="340" spans="1:8" x14ac:dyDescent="0.2">
      <c r="A340" t="s">
        <v>353</v>
      </c>
      <c r="B340" s="14" t="s">
        <v>498</v>
      </c>
      <c r="C340" t="s">
        <v>548</v>
      </c>
      <c r="D340" s="1">
        <v>30.855756759643555</v>
      </c>
      <c r="H340" s="14" t="s">
        <v>498</v>
      </c>
    </row>
    <row r="341" spans="1:8" x14ac:dyDescent="0.2">
      <c r="A341" t="s">
        <v>354</v>
      </c>
      <c r="B341" s="14" t="s">
        <v>499</v>
      </c>
      <c r="C341" t="s">
        <v>548</v>
      </c>
      <c r="D341" s="1">
        <v>30.474239349365234</v>
      </c>
      <c r="H341" s="14" t="s">
        <v>499</v>
      </c>
    </row>
    <row r="342" spans="1:8" x14ac:dyDescent="0.2">
      <c r="A342" t="s">
        <v>355</v>
      </c>
      <c r="B342" s="14" t="s">
        <v>500</v>
      </c>
      <c r="C342" t="s">
        <v>548</v>
      </c>
      <c r="D342" s="1">
        <v>28.735275268554688</v>
      </c>
      <c r="H342" s="14" t="s">
        <v>500</v>
      </c>
    </row>
    <row r="343" spans="1:8" x14ac:dyDescent="0.2">
      <c r="A343" t="s">
        <v>356</v>
      </c>
      <c r="B343" s="14" t="s">
        <v>501</v>
      </c>
      <c r="C343" t="s">
        <v>548</v>
      </c>
      <c r="D343" s="1">
        <v>28.172922134399414</v>
      </c>
      <c r="H343" s="14" t="s">
        <v>501</v>
      </c>
    </row>
    <row r="344" spans="1:8" x14ac:dyDescent="0.2">
      <c r="A344" t="s">
        <v>357</v>
      </c>
      <c r="B344" s="14" t="s">
        <v>502</v>
      </c>
      <c r="C344" t="s">
        <v>548</v>
      </c>
      <c r="D344" s="1">
        <v>28.115514755249023</v>
      </c>
      <c r="H344" s="14" t="s">
        <v>502</v>
      </c>
    </row>
    <row r="345" spans="1:8" x14ac:dyDescent="0.2">
      <c r="A345" t="s">
        <v>358</v>
      </c>
      <c r="B345" s="14" t="s">
        <v>503</v>
      </c>
      <c r="C345" t="s">
        <v>548</v>
      </c>
      <c r="D345" s="1">
        <v>28.334386825561523</v>
      </c>
      <c r="H345" s="14" t="s">
        <v>503</v>
      </c>
    </row>
    <row r="346" spans="1:8" x14ac:dyDescent="0.2">
      <c r="A346" t="s">
        <v>359</v>
      </c>
      <c r="B346" s="14" t="s">
        <v>504</v>
      </c>
      <c r="C346" t="s">
        <v>548</v>
      </c>
      <c r="D346" s="1">
        <v>28.181514739990234</v>
      </c>
      <c r="H346" s="14" t="s">
        <v>504</v>
      </c>
    </row>
    <row r="347" spans="1:8" x14ac:dyDescent="0.2">
      <c r="A347" t="s">
        <v>360</v>
      </c>
      <c r="B347" s="14" t="s">
        <v>505</v>
      </c>
      <c r="C347" t="s">
        <v>548</v>
      </c>
      <c r="D347" s="1">
        <v>28.284109115600586</v>
      </c>
      <c r="H347" s="14" t="s">
        <v>505</v>
      </c>
    </row>
    <row r="348" spans="1:8" x14ac:dyDescent="0.2">
      <c r="A348" t="s">
        <v>361</v>
      </c>
      <c r="B348" s="14" t="s">
        <v>506</v>
      </c>
      <c r="C348" t="s">
        <v>548</v>
      </c>
      <c r="D348" s="1">
        <v>28.965461730957031</v>
      </c>
      <c r="H348" s="14" t="s">
        <v>506</v>
      </c>
    </row>
    <row r="349" spans="1:8" x14ac:dyDescent="0.2">
      <c r="A349" t="s">
        <v>362</v>
      </c>
      <c r="B349" s="14" t="s">
        <v>507</v>
      </c>
      <c r="C349" t="s">
        <v>548</v>
      </c>
      <c r="D349" s="1">
        <v>28.708602905273438</v>
      </c>
      <c r="H349" s="14" t="s">
        <v>507</v>
      </c>
    </row>
    <row r="350" spans="1:8" x14ac:dyDescent="0.2">
      <c r="A350" t="s">
        <v>363</v>
      </c>
      <c r="B350" s="14" t="s">
        <v>508</v>
      </c>
      <c r="C350" t="s">
        <v>548</v>
      </c>
      <c r="D350" s="1">
        <v>28.889900207519531</v>
      </c>
      <c r="H350" s="14" t="s">
        <v>508</v>
      </c>
    </row>
    <row r="351" spans="1:8" x14ac:dyDescent="0.2">
      <c r="A351" t="s">
        <v>364</v>
      </c>
      <c r="B351" s="14" t="s">
        <v>509</v>
      </c>
      <c r="C351" t="s">
        <v>548</v>
      </c>
      <c r="D351" s="1">
        <v>29.893123626708984</v>
      </c>
      <c r="H351" s="14" t="s">
        <v>509</v>
      </c>
    </row>
    <row r="352" spans="1:8" x14ac:dyDescent="0.2">
      <c r="A352" t="s">
        <v>365</v>
      </c>
      <c r="B352" s="14" t="s">
        <v>510</v>
      </c>
      <c r="C352" t="s">
        <v>548</v>
      </c>
      <c r="D352" s="1">
        <v>29.537372589111328</v>
      </c>
      <c r="H352" s="14" t="s">
        <v>510</v>
      </c>
    </row>
    <row r="353" spans="1:8" x14ac:dyDescent="0.2">
      <c r="A353" t="s">
        <v>366</v>
      </c>
      <c r="B353" s="14" t="s">
        <v>511</v>
      </c>
      <c r="C353" t="s">
        <v>548</v>
      </c>
      <c r="D353" s="1">
        <v>29.86924934387207</v>
      </c>
      <c r="H353" s="14" t="s">
        <v>511</v>
      </c>
    </row>
    <row r="354" spans="1:8" x14ac:dyDescent="0.2">
      <c r="A354" t="s">
        <v>367</v>
      </c>
      <c r="B354" s="14" t="s">
        <v>512</v>
      </c>
      <c r="C354" t="s">
        <v>548</v>
      </c>
      <c r="D354" s="1">
        <v>28.773784637451172</v>
      </c>
      <c r="H354" s="14" t="s">
        <v>512</v>
      </c>
    </row>
    <row r="355" spans="1:8" x14ac:dyDescent="0.2">
      <c r="A355" t="s">
        <v>368</v>
      </c>
      <c r="B355" s="14" t="s">
        <v>513</v>
      </c>
      <c r="C355" t="s">
        <v>548</v>
      </c>
      <c r="D355" s="1">
        <v>28.873119354248047</v>
      </c>
      <c r="H355" s="14" t="s">
        <v>513</v>
      </c>
    </row>
    <row r="356" spans="1:8" x14ac:dyDescent="0.2">
      <c r="A356" t="s">
        <v>369</v>
      </c>
      <c r="B356" s="14" t="s">
        <v>514</v>
      </c>
      <c r="C356" t="s">
        <v>548</v>
      </c>
      <c r="D356" s="1">
        <v>28.757280349731445</v>
      </c>
      <c r="H356" s="14" t="s">
        <v>514</v>
      </c>
    </row>
    <row r="357" spans="1:8" x14ac:dyDescent="0.2">
      <c r="A357" t="s">
        <v>370</v>
      </c>
      <c r="B357" s="14" t="s">
        <v>515</v>
      </c>
      <c r="C357" t="s">
        <v>548</v>
      </c>
      <c r="D357" s="1">
        <v>27.595726013183594</v>
      </c>
      <c r="H357" s="14" t="s">
        <v>515</v>
      </c>
    </row>
    <row r="358" spans="1:8" x14ac:dyDescent="0.2">
      <c r="A358" t="s">
        <v>371</v>
      </c>
      <c r="B358" s="14" t="s">
        <v>516</v>
      </c>
      <c r="C358" t="s">
        <v>548</v>
      </c>
      <c r="D358" s="1">
        <v>27.756101608276367</v>
      </c>
      <c r="H358" s="14" t="s">
        <v>516</v>
      </c>
    </row>
    <row r="359" spans="1:8" x14ac:dyDescent="0.2">
      <c r="A359" t="s">
        <v>372</v>
      </c>
      <c r="B359" s="14" t="s">
        <v>517</v>
      </c>
      <c r="C359" t="s">
        <v>548</v>
      </c>
      <c r="D359" s="1">
        <v>27.821325302124023</v>
      </c>
      <c r="H359" s="14" t="s">
        <v>517</v>
      </c>
    </row>
    <row r="360" spans="1:8" x14ac:dyDescent="0.2">
      <c r="A360" t="s">
        <v>373</v>
      </c>
      <c r="B360" s="14" t="s">
        <v>518</v>
      </c>
      <c r="C360" t="s">
        <v>548</v>
      </c>
      <c r="D360" t="s">
        <v>55</v>
      </c>
      <c r="H360" s="14" t="s">
        <v>518</v>
      </c>
    </row>
    <row r="361" spans="1:8" x14ac:dyDescent="0.2">
      <c r="A361" t="s">
        <v>374</v>
      </c>
      <c r="B361" s="14" t="s">
        <v>519</v>
      </c>
      <c r="C361" t="s">
        <v>548</v>
      </c>
      <c r="D361" t="s">
        <v>55</v>
      </c>
      <c r="H361" s="14" t="s">
        <v>519</v>
      </c>
    </row>
    <row r="362" spans="1:8" x14ac:dyDescent="0.2">
      <c r="A362" t="s">
        <v>375</v>
      </c>
      <c r="B362" s="14" t="s">
        <v>520</v>
      </c>
      <c r="C362" t="s">
        <v>548</v>
      </c>
      <c r="D362" t="s">
        <v>55</v>
      </c>
      <c r="H362" s="14" t="s">
        <v>520</v>
      </c>
    </row>
    <row r="363" spans="1:8" x14ac:dyDescent="0.2">
      <c r="A363" t="s">
        <v>376</v>
      </c>
      <c r="B363" s="14" t="s">
        <v>521</v>
      </c>
      <c r="C363" t="s">
        <v>548</v>
      </c>
      <c r="D363" s="1">
        <v>28.755292892456055</v>
      </c>
      <c r="H363" s="14" t="s">
        <v>521</v>
      </c>
    </row>
    <row r="364" spans="1:8" x14ac:dyDescent="0.2">
      <c r="A364" t="s">
        <v>377</v>
      </c>
      <c r="B364" s="14" t="s">
        <v>522</v>
      </c>
      <c r="C364" t="s">
        <v>548</v>
      </c>
      <c r="D364" s="1">
        <v>28.809482574462891</v>
      </c>
      <c r="H364" s="14" t="s">
        <v>522</v>
      </c>
    </row>
    <row r="365" spans="1:8" x14ac:dyDescent="0.2">
      <c r="A365" t="s">
        <v>378</v>
      </c>
      <c r="B365" s="14" t="s">
        <v>523</v>
      </c>
      <c r="C365" t="s">
        <v>548</v>
      </c>
      <c r="D365" s="1">
        <v>28.605165481567383</v>
      </c>
      <c r="H365" s="14" t="s">
        <v>523</v>
      </c>
    </row>
    <row r="366" spans="1:8" x14ac:dyDescent="0.2">
      <c r="A366" t="s">
        <v>379</v>
      </c>
      <c r="B366" s="14" t="s">
        <v>524</v>
      </c>
      <c r="C366" t="s">
        <v>548</v>
      </c>
      <c r="D366" s="1">
        <v>32.965713500976563</v>
      </c>
      <c r="H366" s="14" t="s">
        <v>524</v>
      </c>
    </row>
    <row r="367" spans="1:8" x14ac:dyDescent="0.2">
      <c r="A367" t="s">
        <v>380</v>
      </c>
      <c r="B367" s="14" t="s">
        <v>525</v>
      </c>
      <c r="C367" t="s">
        <v>548</v>
      </c>
      <c r="D367" s="1">
        <v>32.913646697998047</v>
      </c>
      <c r="H367" s="14" t="s">
        <v>525</v>
      </c>
    </row>
    <row r="368" spans="1:8" x14ac:dyDescent="0.2">
      <c r="A368" t="s">
        <v>381</v>
      </c>
      <c r="B368" s="14" t="s">
        <v>526</v>
      </c>
      <c r="C368" t="s">
        <v>548</v>
      </c>
      <c r="D368" s="1">
        <v>32.672252655029297</v>
      </c>
      <c r="H368" s="14" t="s">
        <v>526</v>
      </c>
    </row>
    <row r="369" spans="1:8" x14ac:dyDescent="0.2">
      <c r="A369" t="s">
        <v>382</v>
      </c>
      <c r="B369" s="14" t="s">
        <v>527</v>
      </c>
      <c r="C369" t="s">
        <v>548</v>
      </c>
      <c r="D369" s="1">
        <v>28.477649688720703</v>
      </c>
      <c r="H369" s="14" t="s">
        <v>527</v>
      </c>
    </row>
    <row r="370" spans="1:8" x14ac:dyDescent="0.2">
      <c r="A370" t="s">
        <v>383</v>
      </c>
      <c r="B370" s="14" t="s">
        <v>528</v>
      </c>
      <c r="C370" t="s">
        <v>548</v>
      </c>
      <c r="D370" s="1">
        <v>28.388296127319336</v>
      </c>
      <c r="H370" s="14" t="s">
        <v>528</v>
      </c>
    </row>
    <row r="371" spans="1:8" x14ac:dyDescent="0.2">
      <c r="A371" t="s">
        <v>384</v>
      </c>
      <c r="B371" s="14" t="s">
        <v>529</v>
      </c>
      <c r="C371" t="s">
        <v>548</v>
      </c>
      <c r="D371" s="1">
        <v>28.48744010925293</v>
      </c>
      <c r="H371" s="14" t="s">
        <v>529</v>
      </c>
    </row>
    <row r="372" spans="1:8" x14ac:dyDescent="0.2">
      <c r="A372" t="s">
        <v>385</v>
      </c>
      <c r="B372" s="14" t="s">
        <v>530</v>
      </c>
      <c r="C372" t="s">
        <v>548</v>
      </c>
      <c r="D372" s="1">
        <v>28.105075836181641</v>
      </c>
      <c r="H372" s="14" t="s">
        <v>530</v>
      </c>
    </row>
    <row r="373" spans="1:8" x14ac:dyDescent="0.2">
      <c r="A373" t="s">
        <v>386</v>
      </c>
      <c r="B373" s="14" t="s">
        <v>531</v>
      </c>
      <c r="C373" t="s">
        <v>548</v>
      </c>
      <c r="D373" s="1">
        <v>28.206392288208008</v>
      </c>
      <c r="H373" s="14" t="s">
        <v>531</v>
      </c>
    </row>
    <row r="374" spans="1:8" x14ac:dyDescent="0.2">
      <c r="A374" t="s">
        <v>387</v>
      </c>
      <c r="B374" s="14" t="s">
        <v>532</v>
      </c>
      <c r="C374" t="s">
        <v>548</v>
      </c>
      <c r="D374" s="1">
        <v>28.152997970581055</v>
      </c>
      <c r="H374" s="14" t="s">
        <v>532</v>
      </c>
    </row>
    <row r="375" spans="1:8" x14ac:dyDescent="0.2">
      <c r="A375" t="s">
        <v>388</v>
      </c>
      <c r="B375" s="14" t="s">
        <v>533</v>
      </c>
      <c r="C375" t="s">
        <v>548</v>
      </c>
      <c r="D375" s="1">
        <v>28.384344100952148</v>
      </c>
      <c r="H375" s="14" t="s">
        <v>533</v>
      </c>
    </row>
    <row r="376" spans="1:8" x14ac:dyDescent="0.2">
      <c r="A376" t="s">
        <v>389</v>
      </c>
      <c r="B376" s="14" t="s">
        <v>534</v>
      </c>
      <c r="C376" t="s">
        <v>548</v>
      </c>
      <c r="D376" s="1">
        <v>28.145898818969727</v>
      </c>
      <c r="H376" s="14" t="s">
        <v>534</v>
      </c>
    </row>
    <row r="377" spans="1:8" x14ac:dyDescent="0.2">
      <c r="A377" t="s">
        <v>390</v>
      </c>
      <c r="B377" s="14" t="s">
        <v>535</v>
      </c>
      <c r="C377" t="s">
        <v>548</v>
      </c>
      <c r="D377" s="1">
        <v>28.120742797851563</v>
      </c>
      <c r="H377" s="14" t="s">
        <v>535</v>
      </c>
    </row>
    <row r="378" spans="1:8" x14ac:dyDescent="0.2">
      <c r="A378" t="s">
        <v>391</v>
      </c>
      <c r="B378" s="14" t="s">
        <v>536</v>
      </c>
      <c r="C378" t="s">
        <v>548</v>
      </c>
      <c r="D378" s="1">
        <v>28.091293334960938</v>
      </c>
      <c r="H378" s="14" t="s">
        <v>536</v>
      </c>
    </row>
    <row r="379" spans="1:8" x14ac:dyDescent="0.2">
      <c r="A379" t="s">
        <v>392</v>
      </c>
      <c r="B379" s="14" t="s">
        <v>537</v>
      </c>
      <c r="C379" t="s">
        <v>548</v>
      </c>
      <c r="D379" s="1">
        <v>27.923421859741211</v>
      </c>
      <c r="H379" s="14" t="s">
        <v>537</v>
      </c>
    </row>
    <row r="380" spans="1:8" x14ac:dyDescent="0.2">
      <c r="A380" t="s">
        <v>393</v>
      </c>
      <c r="B380" s="14" t="s">
        <v>538</v>
      </c>
      <c r="C380" t="s">
        <v>548</v>
      </c>
      <c r="D380" s="1">
        <v>27.948337554931641</v>
      </c>
      <c r="H380" s="14" t="s">
        <v>538</v>
      </c>
    </row>
    <row r="381" spans="1:8" x14ac:dyDescent="0.2">
      <c r="A381" t="s">
        <v>394</v>
      </c>
      <c r="B381" s="14" t="s">
        <v>539</v>
      </c>
      <c r="C381" t="s">
        <v>548</v>
      </c>
      <c r="D381" s="1">
        <v>28.711206436157227</v>
      </c>
      <c r="H381" s="14" t="s">
        <v>539</v>
      </c>
    </row>
    <row r="382" spans="1:8" x14ac:dyDescent="0.2">
      <c r="A382" t="s">
        <v>395</v>
      </c>
      <c r="B382" s="14" t="s">
        <v>540</v>
      </c>
      <c r="C382" t="s">
        <v>548</v>
      </c>
      <c r="D382" s="1">
        <v>28.368747711181641</v>
      </c>
      <c r="H382" s="14" t="s">
        <v>540</v>
      </c>
    </row>
    <row r="383" spans="1:8" x14ac:dyDescent="0.2">
      <c r="A383" t="s">
        <v>396</v>
      </c>
      <c r="B383" s="14" t="s">
        <v>541</v>
      </c>
      <c r="C383" t="s">
        <v>548</v>
      </c>
      <c r="D383" s="1">
        <v>28.04170036315918</v>
      </c>
      <c r="H383" s="14" t="s">
        <v>541</v>
      </c>
    </row>
    <row r="384" spans="1:8" x14ac:dyDescent="0.2">
      <c r="A384" t="s">
        <v>397</v>
      </c>
      <c r="B384" s="3" t="s">
        <v>457</v>
      </c>
      <c r="C384" t="s">
        <v>548</v>
      </c>
      <c r="D384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548</v>
      </c>
      <c r="D385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548</v>
      </c>
      <c r="D386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548</v>
      </c>
      <c r="D387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548</v>
      </c>
      <c r="D388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548</v>
      </c>
      <c r="D389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548</v>
      </c>
      <c r="D390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548</v>
      </c>
      <c r="D39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548</v>
      </c>
      <c r="D392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548</v>
      </c>
      <c r="D393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548</v>
      </c>
      <c r="D394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548</v>
      </c>
      <c r="D395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548</v>
      </c>
      <c r="D396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548</v>
      </c>
      <c r="D397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548</v>
      </c>
      <c r="D398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548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548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548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313" workbookViewId="0">
      <selection activeCell="H326" sqref="H326"/>
    </sheetView>
  </sheetViews>
  <sheetFormatPr defaultRowHeight="12.75" x14ac:dyDescent="0.2"/>
  <cols>
    <col min="1" max="1" width="13.28515625" style="7" customWidth="1"/>
    <col min="2" max="2" width="16.85546875" style="7" customWidth="1"/>
    <col min="3" max="3" width="14.85546875" style="7" customWidth="1"/>
    <col min="4" max="4" width="14.7109375" style="7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>
        <f>VLOOKUP(A3,'Exported Results'!A$42:D$161,4,FALSE)</f>
        <v>34.912166595458984</v>
      </c>
      <c r="C3" s="6">
        <f t="shared" ref="C3" si="0">IF(B3="Undetermined",40.1,B3)</f>
        <v>34.912166595458984</v>
      </c>
      <c r="D3" s="3" t="str">
        <f>VLOOKUP(A3,'Exported Results'!A$42:D$161,2,FALSE)</f>
        <v>Blank 1.a</v>
      </c>
      <c r="E3" s="13">
        <f>AVERAGE(C3:C5)</f>
        <v>34.03434944152832</v>
      </c>
      <c r="F3">
        <f>_xlfn.STDEV.P(C3:C5)</f>
        <v>0.87781715393066406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16"/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>
        <f>VLOOKUP(A5,'Exported Results'!A$42:D$161,4,FALSE)</f>
        <v>33.156532287597656</v>
      </c>
      <c r="C5" s="6">
        <f t="shared" ref="C5:C68" si="1">IF(B5="Undetermined",40.1,B5)</f>
        <v>33.156532287597656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25.427053451538086</v>
      </c>
      <c r="C6" s="6">
        <f t="shared" si="1"/>
        <v>25.427053451538086</v>
      </c>
      <c r="D6" s="3" t="str">
        <f>VLOOKUP(A6,'Exported Results'!A$42:D$161,2,FALSE)</f>
        <v>STD 10a</v>
      </c>
      <c r="E6" s="13">
        <f>AVERAGE(C6:C8)</f>
        <v>25.369516372680664</v>
      </c>
      <c r="F6">
        <f>_xlfn.STDEV.P(C6:C8)</f>
        <v>0.10859323199759521</v>
      </c>
    </row>
    <row r="7" spans="1:6" ht="14.25" x14ac:dyDescent="0.2">
      <c r="A7" s="5" t="s">
        <v>59</v>
      </c>
      <c r="B7" s="6">
        <f>VLOOKUP(A7,'Exported Results'!A$42:D$161,4,FALSE)</f>
        <v>25.464059829711914</v>
      </c>
      <c r="C7" s="6">
        <f t="shared" si="1"/>
        <v>25.464059829711914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25.217435836791992</v>
      </c>
      <c r="C8" s="6">
        <f t="shared" si="1"/>
        <v>25.217435836791992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25.701343536376953</v>
      </c>
      <c r="C9" s="6">
        <f t="shared" si="1"/>
        <v>25.701343536376953</v>
      </c>
      <c r="D9" s="3" t="str">
        <f>VLOOKUP(A9,'Exported Results'!A$42:D$161,2,FALSE)</f>
        <v>STD 20a</v>
      </c>
      <c r="E9" s="13">
        <f>AVERAGE(C9:C11)</f>
        <v>25.907526016235352</v>
      </c>
      <c r="F9">
        <f>_xlfn.STDEV.P(C9:C11)</f>
        <v>0.22035222846219513</v>
      </c>
    </row>
    <row r="10" spans="1:6" ht="14.25" x14ac:dyDescent="0.2">
      <c r="A10" s="5" t="s">
        <v>62</v>
      </c>
      <c r="B10" s="6">
        <f>VLOOKUP(A10,'Exported Results'!A$42:D$161,4,FALSE)</f>
        <v>25.808258056640625</v>
      </c>
      <c r="C10" s="6">
        <f t="shared" si="1"/>
        <v>25.808258056640625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26.212976455688477</v>
      </c>
      <c r="C11" s="6">
        <f t="shared" si="1"/>
        <v>26.212976455688477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27.341259002685547</v>
      </c>
      <c r="C12" s="6">
        <f t="shared" si="1"/>
        <v>27.341259002685547</v>
      </c>
      <c r="D12" s="3" t="str">
        <f>VLOOKUP(A12,'Exported Results'!A$42:D$161,2,FALSE)</f>
        <v>STD 40a</v>
      </c>
      <c r="E12" s="13">
        <f>AVERAGE(C12:C14)</f>
        <v>27.283505121866863</v>
      </c>
      <c r="F12">
        <f>_xlfn.STDEV.P(C12:C14)</f>
        <v>7.5715866314751509E-2</v>
      </c>
    </row>
    <row r="13" spans="1:6" ht="14.25" x14ac:dyDescent="0.2">
      <c r="A13" s="5" t="s">
        <v>65</v>
      </c>
      <c r="B13" s="6">
        <f>VLOOKUP(A13,'Exported Results'!A$42:D$161,4,FALSE)</f>
        <v>27.33271598815918</v>
      </c>
      <c r="C13" s="6">
        <f t="shared" si="1"/>
        <v>27.33271598815918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27.176540374755859</v>
      </c>
      <c r="C14" s="6">
        <f t="shared" si="1"/>
        <v>27.176540374755859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28.098312377929688</v>
      </c>
      <c r="C15" s="6">
        <f t="shared" si="1"/>
        <v>28.098312377929688</v>
      </c>
      <c r="D15" s="3" t="str">
        <f>VLOOKUP(A15,'Exported Results'!A$42:D$161,2,FALSE)</f>
        <v>STD 80a</v>
      </c>
      <c r="E15" s="13">
        <f>AVERAGE(C15:C17)</f>
        <v>28.171829859415691</v>
      </c>
      <c r="F15">
        <f>_xlfn.STDEV.P(C15:C17)</f>
        <v>0.21826887502553863</v>
      </c>
    </row>
    <row r="16" spans="1:6" ht="14.25" x14ac:dyDescent="0.2">
      <c r="A16" s="5" t="s">
        <v>68</v>
      </c>
      <c r="B16" s="6">
        <f>VLOOKUP(A16,'Exported Results'!A$42:D$161,4,FALSE)</f>
        <v>27.948957443237305</v>
      </c>
      <c r="C16" s="6">
        <f t="shared" si="1"/>
        <v>27.948957443237305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28.468219757080078</v>
      </c>
      <c r="C17" s="6">
        <f t="shared" si="1"/>
        <v>28.468219757080078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29.18212890625</v>
      </c>
      <c r="C18" s="6">
        <f t="shared" si="1"/>
        <v>29.18212890625</v>
      </c>
      <c r="D18" s="3" t="str">
        <f>VLOOKUP(A18,'Exported Results'!A$42:D$161,2,FALSE)</f>
        <v>STD 160a</v>
      </c>
      <c r="E18" s="13">
        <f>AVERAGE(C18:C20)</f>
        <v>29.307207107543945</v>
      </c>
      <c r="F18">
        <f>_xlfn.STDEV.P(C18:C20)</f>
        <v>0.10852985690228768</v>
      </c>
    </row>
    <row r="19" spans="1:6" ht="14.25" x14ac:dyDescent="0.2">
      <c r="A19" s="5" t="s">
        <v>71</v>
      </c>
      <c r="B19" s="6">
        <f>VLOOKUP(A19,'Exported Results'!A$42:D$161,4,FALSE)</f>
        <v>29.446783065795898</v>
      </c>
      <c r="C19" s="6">
        <f t="shared" si="1"/>
        <v>29.446783065795898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29.292709350585938</v>
      </c>
      <c r="C20" s="6">
        <f t="shared" si="1"/>
        <v>29.292709350585938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30.392082214355469</v>
      </c>
      <c r="C21" s="6">
        <f t="shared" si="1"/>
        <v>30.392082214355469</v>
      </c>
      <c r="D21" s="3" t="str">
        <f>VLOOKUP(A21,'Exported Results'!A$42:D$161,2,FALSE)</f>
        <v>STD 320a</v>
      </c>
      <c r="E21" s="13">
        <f>AVERAGE(C21:C23)</f>
        <v>30.466386795043945</v>
      </c>
      <c r="F21">
        <f>_xlfn.STDEV.P(C21:C23)</f>
        <v>0.13469040752183981</v>
      </c>
    </row>
    <row r="22" spans="1:6" ht="14.25" x14ac:dyDescent="0.2">
      <c r="A22" s="5" t="s">
        <v>74</v>
      </c>
      <c r="B22" s="6">
        <f>VLOOKUP(A22,'Exported Results'!A$42:D$161,4,FALSE)</f>
        <v>30.351646423339844</v>
      </c>
      <c r="C22" s="6">
        <f t="shared" si="1"/>
        <v>30.351646423339844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30.655431747436523</v>
      </c>
      <c r="C23" s="6">
        <f t="shared" si="1"/>
        <v>30.655431747436523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26.951589584350586</v>
      </c>
      <c r="C24" s="6">
        <f t="shared" si="1"/>
        <v>26.951589584350586</v>
      </c>
      <c r="D24" s="3" t="str">
        <f>VLOOKUP(A24,'Exported Results'!A$42:D$161,2,FALSE)</f>
        <v>0.1.a</v>
      </c>
      <c r="E24" s="13">
        <f>AVERAGE(C24:C26)</f>
        <v>26.984383900960285</v>
      </c>
      <c r="F24">
        <f>_xlfn.STDEV.P(C24:C26)</f>
        <v>0.10113031158001506</v>
      </c>
    </row>
    <row r="25" spans="1:6" ht="14.25" x14ac:dyDescent="0.2">
      <c r="A25" s="5" t="s">
        <v>77</v>
      </c>
      <c r="B25" s="6">
        <f>VLOOKUP(A25,'Exported Results'!A$42:D$161,4,FALSE)</f>
        <v>26.880222320556641</v>
      </c>
      <c r="C25" s="6">
        <f t="shared" si="1"/>
        <v>26.880222320556641</v>
      </c>
      <c r="D25" s="3" t="str">
        <f>VLOOKUP(A25,'Exported Results'!A$42:D$161,2,FALSE)</f>
        <v>0.1.b</v>
      </c>
    </row>
    <row r="26" spans="1:6" ht="14.25" x14ac:dyDescent="0.2">
      <c r="A26" s="5" t="s">
        <v>78</v>
      </c>
      <c r="B26" s="6">
        <f>VLOOKUP(A26,'Exported Results'!A$42:D$161,4,FALSE)</f>
        <v>27.121339797973633</v>
      </c>
      <c r="C26" s="6">
        <f t="shared" si="1"/>
        <v>27.121339797973633</v>
      </c>
      <c r="D26" s="3" t="str">
        <f>VLOOKUP(A26,'Exported Results'!A$42:D$161,2,FALSE)</f>
        <v>0.1.c</v>
      </c>
    </row>
    <row r="27" spans="1:6" ht="14.25" x14ac:dyDescent="0.2">
      <c r="A27" s="5" t="s">
        <v>79</v>
      </c>
      <c r="B27" s="6">
        <f>VLOOKUP(A27,'Exported Results'!A$42:D$161,4,FALSE)</f>
        <v>27.065631866455078</v>
      </c>
      <c r="C27" s="6">
        <f t="shared" si="1"/>
        <v>27.065631866455078</v>
      </c>
      <c r="D27" s="3" t="str">
        <f>VLOOKUP(A27,'Exported Results'!A$42:D$161,2,FALSE)</f>
        <v>0.2.a</v>
      </c>
      <c r="E27" s="13">
        <f>AVERAGE(C27:C29)</f>
        <v>27.16304651896159</v>
      </c>
      <c r="F27">
        <f>_xlfn.STDEV.P(C27:C29)</f>
        <v>7.6943245401674396E-2</v>
      </c>
    </row>
    <row r="28" spans="1:6" ht="14.25" x14ac:dyDescent="0.2">
      <c r="A28" s="5" t="s">
        <v>80</v>
      </c>
      <c r="B28" s="6">
        <f>VLOOKUP(A28,'Exported Results'!A$42:D$161,4,FALSE)</f>
        <v>27.253744125366211</v>
      </c>
      <c r="C28" s="6">
        <f t="shared" si="1"/>
        <v>27.253744125366211</v>
      </c>
      <c r="D28" s="3" t="str">
        <f>VLOOKUP(A28,'Exported Results'!A$42:D$161,2,FALSE)</f>
        <v>0.2.b</v>
      </c>
    </row>
    <row r="29" spans="1:6" ht="14.25" x14ac:dyDescent="0.2">
      <c r="A29" s="5" t="s">
        <v>81</v>
      </c>
      <c r="B29" s="6">
        <f>VLOOKUP(A29,'Exported Results'!A$42:D$161,4,FALSE)</f>
        <v>27.169763565063477</v>
      </c>
      <c r="C29" s="6">
        <f t="shared" si="1"/>
        <v>27.169763565063477</v>
      </c>
      <c r="D29" s="3" t="str">
        <f>VLOOKUP(A29,'Exported Results'!A$42:D$161,2,FALSE)</f>
        <v>0.2.c</v>
      </c>
    </row>
    <row r="30" spans="1:6" ht="14.25" x14ac:dyDescent="0.2">
      <c r="A30" s="5" t="s">
        <v>82</v>
      </c>
      <c r="B30" s="6">
        <f>VLOOKUP(A30,'Exported Results'!A$42:D$161,4,FALSE)</f>
        <v>27.006998062133789</v>
      </c>
      <c r="C30" s="6">
        <f t="shared" si="1"/>
        <v>27.006998062133789</v>
      </c>
      <c r="D30" s="3" t="str">
        <f>VLOOKUP(A30,'Exported Results'!A$42:D$161,2,FALSE)</f>
        <v>0.3.a</v>
      </c>
      <c r="E30" s="13">
        <f>AVERAGE(C30:C32)</f>
        <v>27.093291600545246</v>
      </c>
      <c r="F30">
        <f>_xlfn.STDEV.P(C30:C32)</f>
        <v>7.894514318933335E-2</v>
      </c>
    </row>
    <row r="31" spans="1:6" ht="14.25" x14ac:dyDescent="0.2">
      <c r="A31" s="5" t="s">
        <v>83</v>
      </c>
      <c r="B31" s="6">
        <f>VLOOKUP(A31,'Exported Results'!A$42:D$161,4,FALSE)</f>
        <v>27.197786331176758</v>
      </c>
      <c r="C31" s="6">
        <f t="shared" si="1"/>
        <v>27.197786331176758</v>
      </c>
      <c r="D31" s="3" t="str">
        <f>VLOOKUP(A31,'Exported Results'!A$42:D$161,2,FALSE)</f>
        <v>0.3.b</v>
      </c>
    </row>
    <row r="32" spans="1:6" ht="14.25" x14ac:dyDescent="0.2">
      <c r="A32" s="5" t="s">
        <v>84</v>
      </c>
      <c r="B32" s="6">
        <f>VLOOKUP(A32,'Exported Results'!A$42:D$161,4,FALSE)</f>
        <v>27.075090408325195</v>
      </c>
      <c r="C32" s="6">
        <f t="shared" si="1"/>
        <v>27.075090408325195</v>
      </c>
      <c r="D32" s="3" t="str">
        <f>VLOOKUP(A32,'Exported Results'!A$42:D$161,2,FALSE)</f>
        <v>0.3.c</v>
      </c>
    </row>
    <row r="33" spans="1:6" ht="14.25" x14ac:dyDescent="0.2">
      <c r="A33" s="5" t="s">
        <v>85</v>
      </c>
      <c r="B33" s="6">
        <f>VLOOKUP(A33,'Exported Results'!A$42:D$161,4,FALSE)</f>
        <v>26.861310958862305</v>
      </c>
      <c r="C33" s="6">
        <f t="shared" si="1"/>
        <v>26.861310958862305</v>
      </c>
      <c r="D33" s="3" t="str">
        <f>VLOOKUP(A33,'Exported Results'!A$42:D$161,2,FALSE)</f>
        <v>2.1.a</v>
      </c>
      <c r="E33" s="13">
        <f>AVERAGE(C33:C35)</f>
        <v>26.91857401529948</v>
      </c>
      <c r="F33">
        <f>_xlfn.STDEV.P(C33:C35)</f>
        <v>4.0919358807152285E-2</v>
      </c>
    </row>
    <row r="34" spans="1:6" ht="14.25" x14ac:dyDescent="0.2">
      <c r="A34" s="5" t="s">
        <v>86</v>
      </c>
      <c r="B34" s="6">
        <f>VLOOKUP(A34,'Exported Results'!A$42:D$161,4,FALSE)</f>
        <v>26.939973831176758</v>
      </c>
      <c r="C34" s="6">
        <f t="shared" si="1"/>
        <v>26.939973831176758</v>
      </c>
      <c r="D34" s="3" t="str">
        <f>VLOOKUP(A34,'Exported Results'!A$42:D$161,2,FALSE)</f>
        <v>2.1.b</v>
      </c>
    </row>
    <row r="35" spans="1:6" ht="14.25" x14ac:dyDescent="0.2">
      <c r="A35" s="5" t="s">
        <v>87</v>
      </c>
      <c r="B35" s="6">
        <f>VLOOKUP(A35,'Exported Results'!A$42:D$161,4,FALSE)</f>
        <v>26.954437255859375</v>
      </c>
      <c r="C35" s="6">
        <f t="shared" si="1"/>
        <v>26.954437255859375</v>
      </c>
      <c r="D35" s="3" t="str">
        <f>VLOOKUP(A35,'Exported Results'!A$42:D$161,2,FALSE)</f>
        <v>2.1.c</v>
      </c>
    </row>
    <row r="36" spans="1:6" ht="14.25" x14ac:dyDescent="0.2">
      <c r="A36" s="5" t="s">
        <v>88</v>
      </c>
      <c r="B36" s="6">
        <f>VLOOKUP(A36,'Exported Results'!A$42:D$161,4,FALSE)</f>
        <v>27.833194732666016</v>
      </c>
      <c r="C36" s="6">
        <f t="shared" si="1"/>
        <v>27.833194732666016</v>
      </c>
      <c r="D36" s="3" t="str">
        <f>VLOOKUP(A36,'Exported Results'!A$42:D$161,2,FALSE)</f>
        <v>2.2.a</v>
      </c>
      <c r="E36" s="13">
        <f>AVERAGE(C36:C38)</f>
        <v>27.575932184855144</v>
      </c>
      <c r="F36">
        <f>_xlfn.STDEV.P(C36:C38)</f>
        <v>0.18415552993624823</v>
      </c>
    </row>
    <row r="37" spans="1:6" ht="14.25" x14ac:dyDescent="0.2">
      <c r="A37" s="5" t="s">
        <v>89</v>
      </c>
      <c r="B37" s="6">
        <f>VLOOKUP(A37,'Exported Results'!A$42:D$161,4,FALSE)</f>
        <v>27.482398986816406</v>
      </c>
      <c r="C37" s="6">
        <f t="shared" si="1"/>
        <v>27.482398986816406</v>
      </c>
      <c r="D37" s="3" t="str">
        <f>VLOOKUP(A37,'Exported Results'!A$42:D$161,2,FALSE)</f>
        <v>2.2.b</v>
      </c>
    </row>
    <row r="38" spans="1:6" ht="14.25" x14ac:dyDescent="0.2">
      <c r="A38" s="5" t="s">
        <v>90</v>
      </c>
      <c r="B38" s="6">
        <f>VLOOKUP(A38,'Exported Results'!A$42:D$161,4,FALSE)</f>
        <v>27.412202835083008</v>
      </c>
      <c r="C38" s="6">
        <f t="shared" si="1"/>
        <v>27.412202835083008</v>
      </c>
      <c r="D38" s="3" t="str">
        <f>VLOOKUP(A38,'Exported Results'!A$42:D$161,2,FALSE)</f>
        <v>2.2.c</v>
      </c>
    </row>
    <row r="39" spans="1:6" ht="14.25" x14ac:dyDescent="0.2">
      <c r="A39" s="5" t="s">
        <v>91</v>
      </c>
      <c r="B39" s="6">
        <f>VLOOKUP(A39,'Exported Results'!A$42:D$161,4,FALSE)</f>
        <v>27.05235481262207</v>
      </c>
      <c r="C39" s="6">
        <f t="shared" si="1"/>
        <v>27.05235481262207</v>
      </c>
      <c r="D39" s="3" t="str">
        <f>VLOOKUP(A39,'Exported Results'!A$42:D$161,2,FALSE)</f>
        <v>2.3.a</v>
      </c>
      <c r="E39" s="13">
        <f>AVERAGE(C39:C41)</f>
        <v>26.997462590535481</v>
      </c>
      <c r="F39">
        <f>_xlfn.STDEV.P(C39:C41)</f>
        <v>0.2539328187239861</v>
      </c>
    </row>
    <row r="40" spans="1:6" ht="14.25" x14ac:dyDescent="0.2">
      <c r="A40" s="5" t="s">
        <v>92</v>
      </c>
      <c r="B40" s="6">
        <f>VLOOKUP(A40,'Exported Results'!A$42:D$161,4,FALSE)</f>
        <v>26.662668228149414</v>
      </c>
      <c r="C40" s="6">
        <f t="shared" si="1"/>
        <v>26.662668228149414</v>
      </c>
      <c r="D40" s="3" t="str">
        <f>VLOOKUP(A40,'Exported Results'!A$42:D$161,2,FALSE)</f>
        <v>2.3.b</v>
      </c>
    </row>
    <row r="41" spans="1:6" ht="14.25" x14ac:dyDescent="0.2">
      <c r="A41" s="5" t="s">
        <v>93</v>
      </c>
      <c r="B41" s="6">
        <f>VLOOKUP(A41,'Exported Results'!A$42:D$161,4,FALSE)</f>
        <v>27.277364730834961</v>
      </c>
      <c r="C41" s="6">
        <f t="shared" si="1"/>
        <v>27.277364730834961</v>
      </c>
      <c r="D41" s="3" t="str">
        <f>VLOOKUP(A41,'Exported Results'!A$42:D$161,2,FALSE)</f>
        <v>2.3.c</v>
      </c>
    </row>
    <row r="42" spans="1:6" ht="14.25" x14ac:dyDescent="0.2">
      <c r="A42" s="5" t="s">
        <v>94</v>
      </c>
      <c r="B42" s="6">
        <f>VLOOKUP(A42,'Exported Results'!A$42:D$161,4,FALSE)</f>
        <v>27.468341827392578</v>
      </c>
      <c r="C42" s="6">
        <f t="shared" si="1"/>
        <v>27.468341827392578</v>
      </c>
      <c r="D42" s="3" t="str">
        <f>VLOOKUP(A42,'Exported Results'!A$42:D$161,2,FALSE)</f>
        <v>8.1.a</v>
      </c>
      <c r="E42" s="13">
        <f>AVERAGE(C42:C44)</f>
        <v>27.445763905843098</v>
      </c>
      <c r="F42">
        <f>_xlfn.STDEV.P(C42:C44)</f>
        <v>5.0216521541691671E-2</v>
      </c>
    </row>
    <row r="43" spans="1:6" ht="14.25" x14ac:dyDescent="0.2">
      <c r="A43" s="5" t="s">
        <v>95</v>
      </c>
      <c r="B43" s="6">
        <f>VLOOKUP(A43,'Exported Results'!A$42:D$161,4,FALSE)</f>
        <v>27.492786407470703</v>
      </c>
      <c r="C43" s="6">
        <f t="shared" si="1"/>
        <v>27.492786407470703</v>
      </c>
      <c r="D43" s="3" t="str">
        <f>VLOOKUP(A43,'Exported Results'!A$42:D$161,2,FALSE)</f>
        <v>8.1.b</v>
      </c>
    </row>
    <row r="44" spans="1:6" ht="14.25" x14ac:dyDescent="0.2">
      <c r="A44" s="5" t="s">
        <v>96</v>
      </c>
      <c r="B44" s="6">
        <f>VLOOKUP(A44,'Exported Results'!A$42:D$161,4,FALSE)</f>
        <v>27.376163482666016</v>
      </c>
      <c r="C44" s="6">
        <f t="shared" si="1"/>
        <v>27.376163482666016</v>
      </c>
      <c r="D44" s="3" t="str">
        <f>VLOOKUP(A44,'Exported Results'!A$42:D$161,2,FALSE)</f>
        <v>8.1.c</v>
      </c>
    </row>
    <row r="45" spans="1:6" ht="14.25" x14ac:dyDescent="0.2">
      <c r="A45" s="5" t="s">
        <v>97</v>
      </c>
      <c r="B45" s="6">
        <f>VLOOKUP(A45,'Exported Results'!A$42:D$161,4,FALSE)</f>
        <v>27.587015151977539</v>
      </c>
      <c r="C45" s="6">
        <f t="shared" si="1"/>
        <v>27.587015151977539</v>
      </c>
      <c r="D45" s="3" t="str">
        <f>VLOOKUP(A45,'Exported Results'!A$42:D$161,2,FALSE)</f>
        <v>8.2.a</v>
      </c>
      <c r="E45" s="13">
        <f>AVERAGE(C45:C47)</f>
        <v>27.542993545532227</v>
      </c>
      <c r="F45">
        <f>_xlfn.STDEV.P(C45:C47)</f>
        <v>3.5537233297464874E-2</v>
      </c>
    </row>
    <row r="46" spans="1:6" ht="14.25" x14ac:dyDescent="0.2">
      <c r="A46" s="5" t="s">
        <v>98</v>
      </c>
      <c r="B46" s="6">
        <f>VLOOKUP(A46,'Exported Results'!A$42:D$161,4,FALSE)</f>
        <v>27.499984741210938</v>
      </c>
      <c r="C46" s="6">
        <f t="shared" si="1"/>
        <v>27.499984741210938</v>
      </c>
      <c r="D46" s="3" t="str">
        <f>VLOOKUP(A46,'Exported Results'!A$42:D$161,2,FALSE)</f>
        <v>8.2.b</v>
      </c>
    </row>
    <row r="47" spans="1:6" ht="14.25" x14ac:dyDescent="0.2">
      <c r="A47" s="5" t="s">
        <v>99</v>
      </c>
      <c r="B47" s="6">
        <f>VLOOKUP(A47,'Exported Results'!A$42:D$161,4,FALSE)</f>
        <v>27.541980743408203</v>
      </c>
      <c r="C47" s="6">
        <f t="shared" si="1"/>
        <v>27.541980743408203</v>
      </c>
      <c r="D47" s="3" t="str">
        <f>VLOOKUP(A47,'Exported Results'!A$42:D$161,2,FALSE)</f>
        <v>8.2.c</v>
      </c>
    </row>
    <row r="48" spans="1:6" ht="14.25" x14ac:dyDescent="0.2">
      <c r="A48" s="5" t="s">
        <v>100</v>
      </c>
      <c r="B48" s="6">
        <f>VLOOKUP(A48,'Exported Results'!A$42:D$161,4,FALSE)</f>
        <v>26.789152145385742</v>
      </c>
      <c r="C48" s="6">
        <f t="shared" si="1"/>
        <v>26.789152145385742</v>
      </c>
      <c r="D48" s="3" t="str">
        <f>VLOOKUP(A48,'Exported Results'!A$42:D$161,2,FALSE)</f>
        <v>8.3.a</v>
      </c>
      <c r="E48" s="13">
        <f>AVERAGE(C48:C50)</f>
        <v>26.837469100952148</v>
      </c>
      <c r="F48">
        <f>_xlfn.STDEV.P(C48:C50)</f>
        <v>4.2916191855643063E-2</v>
      </c>
    </row>
    <row r="49" spans="1:6" ht="14.25" x14ac:dyDescent="0.2">
      <c r="A49" s="5" t="s">
        <v>101</v>
      </c>
      <c r="B49" s="6">
        <f>VLOOKUP(A49,'Exported Results'!A$42:D$161,4,FALSE)</f>
        <v>26.893436431884766</v>
      </c>
      <c r="C49" s="6">
        <f t="shared" si="1"/>
        <v>26.893436431884766</v>
      </c>
      <c r="D49" s="3" t="str">
        <f>VLOOKUP(A49,'Exported Results'!A$42:D$161,2,FALSE)</f>
        <v>8.3.b</v>
      </c>
    </row>
    <row r="50" spans="1:6" ht="14.25" x14ac:dyDescent="0.2">
      <c r="A50" s="5" t="s">
        <v>102</v>
      </c>
      <c r="B50" s="6">
        <f>VLOOKUP(A50,'Exported Results'!A$42:D$161,4,FALSE)</f>
        <v>26.829818725585938</v>
      </c>
      <c r="C50" s="6">
        <f t="shared" si="1"/>
        <v>26.829818725585938</v>
      </c>
      <c r="D50" s="3" t="str">
        <f>VLOOKUP(A50,'Exported Results'!A$42:D$161,2,FALSE)</f>
        <v>8.3.c</v>
      </c>
    </row>
    <row r="51" spans="1:6" ht="14.25" x14ac:dyDescent="0.2">
      <c r="A51" s="5" t="s">
        <v>103</v>
      </c>
      <c r="B51" s="6">
        <f>VLOOKUP(A51,'Exported Results'!A$42:D$161,4,FALSE)</f>
        <v>26.991676330566406</v>
      </c>
      <c r="C51" s="6">
        <f t="shared" si="1"/>
        <v>26.991676330566406</v>
      </c>
      <c r="D51" s="3" t="str">
        <f>VLOOKUP(A51,'Exported Results'!A$42:D$161,2,FALSE)</f>
        <v>0.4.a</v>
      </c>
      <c r="E51" s="13">
        <f>AVERAGE(C51:C53)</f>
        <v>26.977293014526367</v>
      </c>
      <c r="F51">
        <f>_xlfn.STDEV.P(C51:C53)</f>
        <v>4.4723677361025151E-2</v>
      </c>
    </row>
    <row r="52" spans="1:6" ht="14.25" x14ac:dyDescent="0.2">
      <c r="A52" s="5" t="s">
        <v>104</v>
      </c>
      <c r="B52" s="6">
        <f>VLOOKUP(A52,'Exported Results'!A$42:D$161,4,FALSE)</f>
        <v>26.91676139831543</v>
      </c>
      <c r="C52" s="6">
        <f t="shared" si="1"/>
        <v>26.91676139831543</v>
      </c>
      <c r="D52" s="3" t="str">
        <f>VLOOKUP(A52,'Exported Results'!A$42:D$161,2,FALSE)</f>
        <v>0.4.b</v>
      </c>
    </row>
    <row r="53" spans="1:6" ht="14.25" x14ac:dyDescent="0.2">
      <c r="A53" s="5" t="s">
        <v>105</v>
      </c>
      <c r="B53" s="6">
        <f>VLOOKUP(A53,'Exported Results'!A$42:D$161,4,FALSE)</f>
        <v>27.023441314697266</v>
      </c>
      <c r="C53" s="6">
        <f t="shared" si="1"/>
        <v>27.023441314697266</v>
      </c>
      <c r="D53" s="3" t="str">
        <f>VLOOKUP(A53,'Exported Results'!A$42:D$161,2,FALSE)</f>
        <v>0.4.c</v>
      </c>
    </row>
    <row r="54" spans="1:6" ht="14.25" x14ac:dyDescent="0.2">
      <c r="A54" s="5" t="s">
        <v>106</v>
      </c>
      <c r="B54" s="6">
        <f>VLOOKUP(A54,'Exported Results'!A$42:D$161,4,FALSE)</f>
        <v>27.474668502807617</v>
      </c>
      <c r="C54" s="6">
        <f t="shared" si="1"/>
        <v>27.474668502807617</v>
      </c>
      <c r="D54" s="3" t="str">
        <f>VLOOKUP(A54,'Exported Results'!A$42:D$161,2,FALSE)</f>
        <v>0.5.a</v>
      </c>
      <c r="E54" s="13">
        <f>AVERAGE(C54:C56)</f>
        <v>27.387162526448567</v>
      </c>
      <c r="F54">
        <f>_xlfn.STDEV.P(C54:C56)</f>
        <v>0.12271913962135257</v>
      </c>
    </row>
    <row r="55" spans="1:6" ht="14.25" x14ac:dyDescent="0.2">
      <c r="A55" s="5" t="s">
        <v>107</v>
      </c>
      <c r="B55" s="6">
        <f>VLOOKUP(A55,'Exported Results'!A$42:D$161,4,FALSE)</f>
        <v>27.213613510131836</v>
      </c>
      <c r="C55" s="6">
        <f t="shared" si="1"/>
        <v>27.213613510131836</v>
      </c>
      <c r="D55" s="3" t="str">
        <f>VLOOKUP(A55,'Exported Results'!A$42:D$161,2,FALSE)</f>
        <v>0.5.b</v>
      </c>
    </row>
    <row r="56" spans="1:6" ht="14.25" x14ac:dyDescent="0.2">
      <c r="A56" s="5" t="s">
        <v>108</v>
      </c>
      <c r="B56" s="6">
        <f>VLOOKUP(A56,'Exported Results'!A$42:D$161,4,FALSE)</f>
        <v>27.47320556640625</v>
      </c>
      <c r="C56" s="6">
        <f t="shared" si="1"/>
        <v>27.47320556640625</v>
      </c>
      <c r="D56" s="3" t="str">
        <f>VLOOKUP(A56,'Exported Results'!A$42:D$161,2,FALSE)</f>
        <v>0.5.c</v>
      </c>
    </row>
    <row r="57" spans="1:6" ht="14.25" x14ac:dyDescent="0.2">
      <c r="A57" s="5" t="s">
        <v>109</v>
      </c>
      <c r="B57" s="6">
        <f>VLOOKUP(A57,'Exported Results'!A$42:D$161,4,FALSE)</f>
        <v>28.061513900756836</v>
      </c>
      <c r="C57" s="6">
        <f t="shared" si="1"/>
        <v>28.061513900756836</v>
      </c>
      <c r="D57" s="3" t="str">
        <f>VLOOKUP(A57,'Exported Results'!A$42:D$161,2,FALSE)</f>
        <v>0.6.a</v>
      </c>
      <c r="E57" s="13">
        <f>AVERAGE(C57:C59)</f>
        <v>27.726927439371746</v>
      </c>
      <c r="F57">
        <f>_xlfn.STDEV.P(C57:C59)</f>
        <v>0.25018981377971283</v>
      </c>
    </row>
    <row r="58" spans="1:6" ht="14.25" x14ac:dyDescent="0.2">
      <c r="A58" s="5" t="s">
        <v>110</v>
      </c>
      <c r="B58" s="6">
        <f>VLOOKUP(A58,'Exported Results'!A$42:D$161,4,FALSE)</f>
        <v>27.459978103637695</v>
      </c>
      <c r="C58" s="6">
        <f t="shared" si="1"/>
        <v>27.459978103637695</v>
      </c>
      <c r="D58" s="3" t="str">
        <f>VLOOKUP(A58,'Exported Results'!A$42:D$161,2,FALSE)</f>
        <v>0.6.b</v>
      </c>
    </row>
    <row r="59" spans="1:6" ht="14.25" x14ac:dyDescent="0.2">
      <c r="A59" s="5" t="s">
        <v>111</v>
      </c>
      <c r="B59" s="6">
        <f>VLOOKUP(A59,'Exported Results'!A$42:D$161,4,FALSE)</f>
        <v>27.659290313720703</v>
      </c>
      <c r="C59" s="6">
        <f t="shared" si="1"/>
        <v>27.659290313720703</v>
      </c>
      <c r="D59" s="3" t="str">
        <f>VLOOKUP(A59,'Exported Results'!A$42:D$161,2,FALSE)</f>
        <v>0.6.c</v>
      </c>
    </row>
    <row r="60" spans="1:6" ht="14.25" x14ac:dyDescent="0.2">
      <c r="A60" s="5" t="s">
        <v>112</v>
      </c>
      <c r="B60" s="6">
        <f>VLOOKUP(A60,'Exported Results'!A$42:D$161,4,FALSE)</f>
        <v>29.338342666625977</v>
      </c>
      <c r="C60" s="6">
        <f t="shared" si="1"/>
        <v>29.338342666625977</v>
      </c>
      <c r="D60" s="3" t="str">
        <f>VLOOKUP(A60,'Exported Results'!A$42:D$161,2,FALSE)</f>
        <v>0.7.a</v>
      </c>
      <c r="E60" s="13">
        <f>AVERAGE(C60:C62)</f>
        <v>29.197978337605793</v>
      </c>
      <c r="F60">
        <f>_xlfn.STDEV.P(C60:C62)</f>
        <v>0.1015090649140561</v>
      </c>
    </row>
    <row r="61" spans="1:6" ht="14.25" x14ac:dyDescent="0.2">
      <c r="A61" s="5" t="s">
        <v>113</v>
      </c>
      <c r="B61" s="6">
        <f>VLOOKUP(A61,'Exported Results'!A$42:D$161,4,FALSE)</f>
        <v>29.153863906860352</v>
      </c>
      <c r="C61" s="6">
        <f t="shared" si="1"/>
        <v>29.153863906860352</v>
      </c>
      <c r="D61" s="3" t="str">
        <f>VLOOKUP(A61,'Exported Results'!A$42:D$161,2,FALSE)</f>
        <v>0.7.b</v>
      </c>
    </row>
    <row r="62" spans="1:6" ht="14.25" x14ac:dyDescent="0.2">
      <c r="A62" s="5" t="s">
        <v>114</v>
      </c>
      <c r="B62" s="6">
        <f>VLOOKUP(A62,'Exported Results'!A$42:D$161,4,FALSE)</f>
        <v>29.101728439331055</v>
      </c>
      <c r="C62" s="6">
        <f t="shared" si="1"/>
        <v>29.101728439331055</v>
      </c>
      <c r="D62" s="3" t="str">
        <f>VLOOKUP(A62,'Exported Results'!A$42:D$161,2,FALSE)</f>
        <v>0.7.c</v>
      </c>
    </row>
    <row r="63" spans="1:6" ht="14.25" x14ac:dyDescent="0.2">
      <c r="A63" s="5" t="s">
        <v>115</v>
      </c>
      <c r="B63" s="6">
        <f>VLOOKUP(A63,'Exported Results'!A$42:D$161,4,FALSE)</f>
        <v>27.278131484985352</v>
      </c>
      <c r="C63" s="6">
        <f t="shared" si="1"/>
        <v>27.278131484985352</v>
      </c>
      <c r="D63" s="3" t="str">
        <f>VLOOKUP(A63,'Exported Results'!A$42:D$161,2,FALSE)</f>
        <v>0.8.a</v>
      </c>
      <c r="E63" s="13">
        <f>AVERAGE(C63:C65)</f>
        <v>27.094268163045246</v>
      </c>
      <c r="F63">
        <f>_xlfn.STDEV.P(C63:C65)</f>
        <v>0.24513516680994044</v>
      </c>
    </row>
    <row r="64" spans="1:6" ht="14.25" x14ac:dyDescent="0.2">
      <c r="A64" s="5" t="s">
        <v>116</v>
      </c>
      <c r="B64" s="6">
        <f>VLOOKUP(A64,'Exported Results'!A$42:D$161,4,FALSE)</f>
        <v>26.747812271118164</v>
      </c>
      <c r="C64" s="6">
        <f t="shared" si="1"/>
        <v>26.747812271118164</v>
      </c>
      <c r="D64" s="3" t="str">
        <f>VLOOKUP(A64,'Exported Results'!A$42:D$161,2,FALSE)</f>
        <v>0.8.b</v>
      </c>
    </row>
    <row r="65" spans="1:6" ht="14.25" x14ac:dyDescent="0.2">
      <c r="A65" s="5" t="s">
        <v>117</v>
      </c>
      <c r="B65" s="6">
        <f>VLOOKUP(A65,'Exported Results'!A$42:D$161,4,FALSE)</f>
        <v>27.256860733032227</v>
      </c>
      <c r="C65" s="6">
        <f t="shared" si="1"/>
        <v>27.256860733032227</v>
      </c>
      <c r="D65" s="3" t="str">
        <f>VLOOKUP(A65,'Exported Results'!A$42:D$161,2,FALSE)</f>
        <v>0.8.c</v>
      </c>
    </row>
    <row r="66" spans="1:6" ht="14.25" x14ac:dyDescent="0.2">
      <c r="A66" s="5" t="s">
        <v>118</v>
      </c>
      <c r="B66" s="6">
        <f>VLOOKUP(A66,'Exported Results'!A$42:D$161,4,FALSE)</f>
        <v>26.450160980224609</v>
      </c>
      <c r="C66" s="6">
        <f t="shared" si="1"/>
        <v>26.450160980224609</v>
      </c>
      <c r="D66" s="3" t="str">
        <f>VLOOKUP(A66,'Exported Results'!A$42:D$161,2,FALSE)</f>
        <v>0.9.a</v>
      </c>
      <c r="E66" s="13">
        <f>AVERAGE(C66:C68)</f>
        <v>26.658961613972981</v>
      </c>
      <c r="F66">
        <f>_xlfn.STDEV.P(C66:C68)</f>
        <v>0.21475511164409808</v>
      </c>
    </row>
    <row r="67" spans="1:6" ht="14.25" x14ac:dyDescent="0.2">
      <c r="A67" s="5" t="s">
        <v>119</v>
      </c>
      <c r="B67" s="6">
        <f>VLOOKUP(A67,'Exported Results'!A$42:D$161,4,FALSE)</f>
        <v>26.572360992431641</v>
      </c>
      <c r="C67" s="6">
        <f t="shared" si="1"/>
        <v>26.572360992431641</v>
      </c>
      <c r="D67" s="3" t="str">
        <f>VLOOKUP(A67,'Exported Results'!A$42:D$161,2,FALSE)</f>
        <v>0.9.b</v>
      </c>
    </row>
    <row r="68" spans="1:6" ht="14.25" x14ac:dyDescent="0.2">
      <c r="A68" s="5" t="s">
        <v>120</v>
      </c>
      <c r="B68" s="6">
        <f>VLOOKUP(A68,'Exported Results'!A$42:D$161,4,FALSE)</f>
        <v>26.954362869262695</v>
      </c>
      <c r="C68" s="6">
        <f t="shared" si="1"/>
        <v>26.954362869262695</v>
      </c>
      <c r="D68" s="3" t="str">
        <f>VLOOKUP(A68,'Exported Results'!A$42:D$161,2,FALSE)</f>
        <v>0.9.c</v>
      </c>
    </row>
    <row r="69" spans="1:6" ht="14.25" x14ac:dyDescent="0.2">
      <c r="A69" s="5" t="s">
        <v>121</v>
      </c>
      <c r="B69" s="6">
        <f>VLOOKUP(A69,'Exported Results'!A$42:D$161,4,FALSE)</f>
        <v>27.888633728027344</v>
      </c>
      <c r="C69" s="6">
        <f t="shared" ref="C69:C94" si="2">IF(B69="Undetermined",40.1,B69)</f>
        <v>27.888633728027344</v>
      </c>
      <c r="D69" s="3" t="str">
        <f>VLOOKUP(A69,'Exported Results'!A$42:D$161,2,FALSE)</f>
        <v>2.4.a</v>
      </c>
      <c r="E69" s="13">
        <f>AVERAGE(C69:C71)</f>
        <v>27.698610305786133</v>
      </c>
      <c r="F69">
        <f>_xlfn.STDEV.P(C69:C71)</f>
        <v>0.17998242124672664</v>
      </c>
    </row>
    <row r="70" spans="1:6" ht="14.25" x14ac:dyDescent="0.2">
      <c r="A70" s="5" t="s">
        <v>122</v>
      </c>
      <c r="B70" s="6">
        <f>VLOOKUP(A70,'Exported Results'!A$42:D$161,4,FALSE)</f>
        <v>27.75025749206543</v>
      </c>
      <c r="C70" s="6">
        <f t="shared" si="2"/>
        <v>27.75025749206543</v>
      </c>
      <c r="D70" s="3" t="str">
        <f>VLOOKUP(A70,'Exported Results'!A$42:D$161,2,FALSE)</f>
        <v>2.4.b</v>
      </c>
    </row>
    <row r="71" spans="1:6" ht="14.25" x14ac:dyDescent="0.2">
      <c r="A71" s="5" t="s">
        <v>123</v>
      </c>
      <c r="B71" s="6">
        <f>VLOOKUP(A71,'Exported Results'!A$42:D$161,4,FALSE)</f>
        <v>27.456939697265625</v>
      </c>
      <c r="C71" s="6">
        <f t="shared" si="2"/>
        <v>27.456939697265625</v>
      </c>
      <c r="D71" s="3" t="str">
        <f>VLOOKUP(A71,'Exported Results'!A$42:D$161,2,FALSE)</f>
        <v>2.4.c</v>
      </c>
    </row>
    <row r="72" spans="1:6" ht="14.25" x14ac:dyDescent="0.2">
      <c r="A72" s="5" t="s">
        <v>124</v>
      </c>
      <c r="B72" s="6">
        <f>VLOOKUP(A72,'Exported Results'!A$42:D$161,4,FALSE)</f>
        <v>28.554597854614258</v>
      </c>
      <c r="C72" s="6">
        <f t="shared" si="2"/>
        <v>28.554597854614258</v>
      </c>
      <c r="D72" s="3" t="str">
        <f>VLOOKUP(A72,'Exported Results'!A$42:D$161,2,FALSE)</f>
        <v>2.5.a</v>
      </c>
      <c r="E72" s="13">
        <f>AVERAGE(C72:C74)</f>
        <v>28.360830307006836</v>
      </c>
      <c r="F72">
        <f>_xlfn.STDEV.P(C72:C74)</f>
        <v>0.13774067624510183</v>
      </c>
    </row>
    <row r="73" spans="1:6" ht="14.25" x14ac:dyDescent="0.2">
      <c r="A73" s="5" t="s">
        <v>125</v>
      </c>
      <c r="B73" s="6">
        <f>VLOOKUP(A73,'Exported Results'!A$42:D$161,4,FALSE)</f>
        <v>28.246644973754883</v>
      </c>
      <c r="C73" s="6">
        <f t="shared" si="2"/>
        <v>28.246644973754883</v>
      </c>
      <c r="D73" s="3" t="str">
        <f>VLOOKUP(A73,'Exported Results'!A$42:D$161,2,FALSE)</f>
        <v>2.5.b</v>
      </c>
    </row>
    <row r="74" spans="1:6" ht="14.25" x14ac:dyDescent="0.2">
      <c r="A74" s="5" t="s">
        <v>126</v>
      </c>
      <c r="B74" s="6">
        <f>VLOOKUP(A74,'Exported Results'!A$42:D$161,4,FALSE)</f>
        <v>28.281248092651367</v>
      </c>
      <c r="C74" s="6">
        <f t="shared" si="2"/>
        <v>28.281248092651367</v>
      </c>
      <c r="D74" s="3" t="str">
        <f>VLOOKUP(A74,'Exported Results'!A$42:D$161,2,FALSE)</f>
        <v>2.5.c</v>
      </c>
    </row>
    <row r="75" spans="1:6" ht="14.25" x14ac:dyDescent="0.2">
      <c r="A75" s="5" t="s">
        <v>127</v>
      </c>
      <c r="B75" s="6">
        <f>VLOOKUP(A75,'Exported Results'!A$42:D$161,4,FALSE)</f>
        <v>27.80364990234375</v>
      </c>
      <c r="C75" s="6">
        <f t="shared" si="2"/>
        <v>27.80364990234375</v>
      </c>
      <c r="D75" s="3" t="str">
        <f>VLOOKUP(A75,'Exported Results'!A$42:D$161,2,FALSE)</f>
        <v>2.6.a</v>
      </c>
      <c r="E75" s="13">
        <f>AVERAGE(C75:C77)</f>
        <v>27.652743021647137</v>
      </c>
      <c r="F75">
        <f>_xlfn.STDEV.P(C75:C77)</f>
        <v>0.10750596774569962</v>
      </c>
    </row>
    <row r="76" spans="1:6" ht="14.25" x14ac:dyDescent="0.2">
      <c r="A76" s="5" t="s">
        <v>128</v>
      </c>
      <c r="B76" s="6">
        <f>VLOOKUP(A76,'Exported Results'!A$42:D$161,4,FALSE)</f>
        <v>27.561269760131836</v>
      </c>
      <c r="C76" s="6">
        <f t="shared" si="2"/>
        <v>27.561269760131836</v>
      </c>
      <c r="D76" s="3" t="str">
        <f>VLOOKUP(A76,'Exported Results'!A$42:D$161,2,FALSE)</f>
        <v>2.6.b</v>
      </c>
    </row>
    <row r="77" spans="1:6" ht="14.25" x14ac:dyDescent="0.2">
      <c r="A77" s="5" t="s">
        <v>129</v>
      </c>
      <c r="B77" s="6">
        <f>VLOOKUP(A77,'Exported Results'!A$42:D$161,4,FALSE)</f>
        <v>27.59330940246582</v>
      </c>
      <c r="C77" s="6">
        <f t="shared" si="2"/>
        <v>27.59330940246582</v>
      </c>
      <c r="D77" s="3" t="str">
        <f>VLOOKUP(A77,'Exported Results'!A$42:D$161,2,FALSE)</f>
        <v>2.6.c</v>
      </c>
    </row>
    <row r="78" spans="1:6" ht="14.25" x14ac:dyDescent="0.2">
      <c r="A78" s="5" t="s">
        <v>130</v>
      </c>
      <c r="B78" s="6">
        <f>VLOOKUP(A78,'Exported Results'!A$42:D$161,4,FALSE)</f>
        <v>26.474451065063477</v>
      </c>
      <c r="C78" s="6">
        <f t="shared" si="2"/>
        <v>26.474451065063477</v>
      </c>
      <c r="D78" s="3" t="str">
        <f>VLOOKUP(A78,'Exported Results'!A$42:D$161,2,FALSE)</f>
        <v>2.7.a</v>
      </c>
      <c r="E78" s="13">
        <f>AVERAGE(C78:C80)</f>
        <v>26.460830052693684</v>
      </c>
      <c r="F78">
        <f>_xlfn.STDEV.P(C78:C80)</f>
        <v>0.11986232741620499</v>
      </c>
    </row>
    <row r="79" spans="1:6" ht="14.25" x14ac:dyDescent="0.2">
      <c r="A79" s="5" t="s">
        <v>131</v>
      </c>
      <c r="B79" s="6">
        <f>VLOOKUP(A79,'Exported Results'!A$42:D$161,4,FALSE)</f>
        <v>26.307693481445313</v>
      </c>
      <c r="C79" s="6">
        <f t="shared" si="2"/>
        <v>26.307693481445313</v>
      </c>
      <c r="D79" s="3" t="str">
        <f>VLOOKUP(A79,'Exported Results'!A$42:D$161,2,FALSE)</f>
        <v>2.7.b</v>
      </c>
    </row>
    <row r="80" spans="1:6" ht="14.25" x14ac:dyDescent="0.2">
      <c r="A80" s="5" t="s">
        <v>132</v>
      </c>
      <c r="B80" s="6">
        <f>VLOOKUP(A80,'Exported Results'!A$42:D$161,4,FALSE)</f>
        <v>26.600345611572266</v>
      </c>
      <c r="C80" s="6">
        <f t="shared" si="2"/>
        <v>26.600345611572266</v>
      </c>
      <c r="D80" s="3" t="str">
        <f>VLOOKUP(A80,'Exported Results'!A$42:D$161,2,FALSE)</f>
        <v>2.7.c</v>
      </c>
    </row>
    <row r="81" spans="1:6" ht="14.25" x14ac:dyDescent="0.2">
      <c r="A81" s="5" t="s">
        <v>133</v>
      </c>
      <c r="B81" s="6" t="str">
        <f>VLOOKUP(A81,'Exported Results'!A$42:D$161,4,FALSE)</f>
        <v>Undetermined</v>
      </c>
      <c r="C81" s="16"/>
      <c r="D81" s="3" t="str">
        <f>VLOOKUP(A81,'Exported Results'!A$42:D$161,2,FALSE)</f>
        <v>2.8.a</v>
      </c>
      <c r="E81" s="13" t="e">
        <f>AVERAGE(C81:C83)</f>
        <v>#DIV/0!</v>
      </c>
      <c r="F81" t="e">
        <f>_xlfn.STDEV.P(C81:C83)</f>
        <v>#DIV/0!</v>
      </c>
    </row>
    <row r="82" spans="1:6" ht="14.25" x14ac:dyDescent="0.2">
      <c r="A82" s="5" t="s">
        <v>134</v>
      </c>
      <c r="B82" s="6" t="str">
        <f>VLOOKUP(A82,'Exported Results'!A$42:D$161,4,FALSE)</f>
        <v>Undetermined</v>
      </c>
      <c r="C82" s="16"/>
      <c r="D82" s="3" t="str">
        <f>VLOOKUP(A82,'Exported Results'!A$42:D$161,2,FALSE)</f>
        <v>2.8.b</v>
      </c>
    </row>
    <row r="83" spans="1:6" ht="14.25" x14ac:dyDescent="0.2">
      <c r="A83" s="5" t="s">
        <v>135</v>
      </c>
      <c r="B83" s="6" t="str">
        <f>VLOOKUP(A83,'Exported Results'!A$42:D$161,4,FALSE)</f>
        <v>Undetermined</v>
      </c>
      <c r="C83" s="16"/>
      <c r="D83" s="3" t="str">
        <f>VLOOKUP(A83,'Exported Results'!A$42:D$161,2,FALSE)</f>
        <v>2.8.c</v>
      </c>
    </row>
    <row r="84" spans="1:6" ht="14.25" x14ac:dyDescent="0.2">
      <c r="A84" s="5" t="s">
        <v>136</v>
      </c>
      <c r="B84" s="6">
        <f>VLOOKUP(A84,'Exported Results'!A$42:D$161,4,FALSE)</f>
        <v>27.526445388793945</v>
      </c>
      <c r="C84" s="6">
        <f t="shared" si="2"/>
        <v>27.526445388793945</v>
      </c>
      <c r="D84" s="3" t="str">
        <f>VLOOKUP(A84,'Exported Results'!A$42:D$161,2,FALSE)</f>
        <v>2.9.a</v>
      </c>
      <c r="E84" s="13">
        <f>AVERAGE(C84:C86)</f>
        <v>27.380887349446613</v>
      </c>
      <c r="F84">
        <f>_xlfn.STDEV.P(C84:C86)</f>
        <v>0.18439177178645921</v>
      </c>
    </row>
    <row r="85" spans="1:6" ht="14.25" x14ac:dyDescent="0.2">
      <c r="A85" s="5" t="s">
        <v>137</v>
      </c>
      <c r="B85" s="6">
        <f>VLOOKUP(A85,'Exported Results'!A$42:D$161,4,FALSE)</f>
        <v>27.120731353759766</v>
      </c>
      <c r="C85" s="6">
        <f t="shared" si="2"/>
        <v>27.120731353759766</v>
      </c>
      <c r="D85" s="3" t="str">
        <f>VLOOKUP(A85,'Exported Results'!A$42:D$161,2,FALSE)</f>
        <v>2.9.b</v>
      </c>
    </row>
    <row r="86" spans="1:6" ht="14.25" x14ac:dyDescent="0.2">
      <c r="A86" s="5" t="s">
        <v>138</v>
      </c>
      <c r="B86" s="6">
        <f>VLOOKUP(A86,'Exported Results'!A$42:D$161,4,FALSE)</f>
        <v>27.495485305786133</v>
      </c>
      <c r="C86" s="6">
        <f t="shared" si="2"/>
        <v>27.495485305786133</v>
      </c>
      <c r="D86" s="3" t="str">
        <f>VLOOKUP(A86,'Exported Results'!A$42:D$161,2,FALSE)</f>
        <v>2.9.c</v>
      </c>
    </row>
    <row r="87" spans="1:6" ht="14.25" x14ac:dyDescent="0.2">
      <c r="A87" s="5" t="s">
        <v>139</v>
      </c>
      <c r="B87" s="6">
        <f>VLOOKUP(A87,'Exported Results'!A$42:D$161,4,FALSE)</f>
        <v>31.958944320678711</v>
      </c>
      <c r="C87" s="16"/>
      <c r="D87" s="3" t="str">
        <f>VLOOKUP(A87,'Exported Results'!A$42:D$161,2,FALSE)</f>
        <v>8.4.a</v>
      </c>
      <c r="E87" s="13" t="e">
        <f>AVERAGE(C87:C89)</f>
        <v>#DIV/0!</v>
      </c>
      <c r="F87" t="e">
        <f>_xlfn.STDEV.P(C87:C89)</f>
        <v>#DIV/0!</v>
      </c>
    </row>
    <row r="88" spans="1:6" ht="14.25" x14ac:dyDescent="0.2">
      <c r="A88" s="5" t="s">
        <v>140</v>
      </c>
      <c r="B88" s="6">
        <f>VLOOKUP(A88,'Exported Results'!A$42:D$161,4,FALSE)</f>
        <v>31.953575134277344</v>
      </c>
      <c r="C88" s="16"/>
      <c r="D88" s="3" t="str">
        <f>VLOOKUP(A88,'Exported Results'!A$42:D$161,2,FALSE)</f>
        <v>8.4.b</v>
      </c>
    </row>
    <row r="89" spans="1:6" ht="14.25" x14ac:dyDescent="0.2">
      <c r="A89" s="5" t="s">
        <v>141</v>
      </c>
      <c r="B89" s="6">
        <f>VLOOKUP(A89,'Exported Results'!A$42:D$161,4,FALSE)</f>
        <v>32.430027008056641</v>
      </c>
      <c r="C89" s="16"/>
      <c r="D89" s="3" t="str">
        <f>VLOOKUP(A89,'Exported Results'!A$42:D$161,2,FALSE)</f>
        <v>8.4.c</v>
      </c>
    </row>
    <row r="90" spans="1:6" ht="14.25" x14ac:dyDescent="0.2">
      <c r="A90" s="5" t="s">
        <v>142</v>
      </c>
      <c r="B90" s="6">
        <f>VLOOKUP(A90,'Exported Results'!A$42:D$161,4,FALSE)</f>
        <v>27.186981201171875</v>
      </c>
      <c r="C90" s="6">
        <f t="shared" si="2"/>
        <v>27.186981201171875</v>
      </c>
      <c r="D90" s="3" t="str">
        <f>VLOOKUP(A90,'Exported Results'!A$42:D$161,2,FALSE)</f>
        <v>8.5.a</v>
      </c>
      <c r="E90" s="13">
        <f>AVERAGE(C90:C92)</f>
        <v>27.215468724568684</v>
      </c>
      <c r="F90">
        <f>_xlfn.STDEV.P(C90:C92)</f>
        <v>0.15057580701174608</v>
      </c>
    </row>
    <row r="91" spans="1:6" ht="14.25" x14ac:dyDescent="0.2">
      <c r="A91" s="5" t="s">
        <v>143</v>
      </c>
      <c r="B91" s="6">
        <f>VLOOKUP(A91,'Exported Results'!A$42:D$161,4,FALSE)</f>
        <v>27.046953201293945</v>
      </c>
      <c r="C91" s="6">
        <f t="shared" si="2"/>
        <v>27.046953201293945</v>
      </c>
      <c r="D91" s="3" t="str">
        <f>VLOOKUP(A91,'Exported Results'!A$42:D$161,2,FALSE)</f>
        <v>8.5.b</v>
      </c>
    </row>
    <row r="92" spans="1:6" ht="14.25" x14ac:dyDescent="0.2">
      <c r="A92" s="5" t="s">
        <v>144</v>
      </c>
      <c r="B92" s="6">
        <f>VLOOKUP(A92,'Exported Results'!A$42:D$161,4,FALSE)</f>
        <v>27.412471771240234</v>
      </c>
      <c r="C92" s="6">
        <f t="shared" si="2"/>
        <v>27.412471771240234</v>
      </c>
      <c r="D92" s="3" t="str">
        <f>VLOOKUP(A92,'Exported Results'!A$42:D$161,2,FALSE)</f>
        <v>8.5.c</v>
      </c>
    </row>
    <row r="93" spans="1:6" ht="14.25" x14ac:dyDescent="0.2">
      <c r="A93" s="5" t="s">
        <v>145</v>
      </c>
      <c r="B93" s="6">
        <f>VLOOKUP(A93,'Exported Results'!A$42:D$161,4,FALSE)</f>
        <v>27.127309799194336</v>
      </c>
      <c r="C93" s="6">
        <f t="shared" si="2"/>
        <v>27.127309799194336</v>
      </c>
      <c r="D93" s="3" t="str">
        <f>VLOOKUP(A93,'Exported Results'!A$42:D$161,2,FALSE)</f>
        <v>8.6.a</v>
      </c>
      <c r="E93" s="13">
        <f>AVERAGE(C93:C95)</f>
        <v>27.079165140787762</v>
      </c>
      <c r="F93">
        <f>_xlfn.STDEV.P(C93:C95)</f>
        <v>4.7573926656236255E-2</v>
      </c>
    </row>
    <row r="94" spans="1:6" ht="14.25" x14ac:dyDescent="0.2">
      <c r="A94" s="5" t="s">
        <v>146</v>
      </c>
      <c r="B94" s="6">
        <f>VLOOKUP(A94,'Exported Results'!A$42:D$161,4,FALSE)</f>
        <v>27.014392852783203</v>
      </c>
      <c r="C94" s="6">
        <f t="shared" si="2"/>
        <v>27.014392852783203</v>
      </c>
      <c r="D94" s="3" t="str">
        <f>VLOOKUP(A94,'Exported Results'!A$42:D$161,2,FALSE)</f>
        <v>8.6.b</v>
      </c>
    </row>
    <row r="95" spans="1:6" ht="14.25" x14ac:dyDescent="0.2">
      <c r="A95" s="5" t="s">
        <v>147</v>
      </c>
      <c r="B95" s="6">
        <f>VLOOKUP(A95,'Exported Results'!A$42:D$161,4,FALSE)</f>
        <v>27.095792770385742</v>
      </c>
      <c r="C95" s="6">
        <f t="shared" ref="C95:C122" si="3">IF(B95="Undetermined",40.1,B95)</f>
        <v>27.095792770385742</v>
      </c>
      <c r="D95" s="3" t="str">
        <f>VLOOKUP(A95,'Exported Results'!A$42:D$161,2,FALSE)</f>
        <v>8.6.c</v>
      </c>
    </row>
    <row r="96" spans="1:6" ht="14.25" x14ac:dyDescent="0.2">
      <c r="A96" s="5" t="s">
        <v>148</v>
      </c>
      <c r="B96" s="6">
        <f>VLOOKUP(A96,'Exported Results'!A$42:D$161,4,FALSE)</f>
        <v>27.326467514038086</v>
      </c>
      <c r="C96" s="6">
        <f t="shared" si="3"/>
        <v>27.326467514038086</v>
      </c>
      <c r="D96" s="3" t="str">
        <f>VLOOKUP(A96,'Exported Results'!A$42:D$161,2,FALSE)</f>
        <v>8.7.a</v>
      </c>
      <c r="E96" s="13">
        <f>AVERAGE(C96:C98)</f>
        <v>27.154163360595703</v>
      </c>
      <c r="F96">
        <f>_xlfn.STDEV.P(C96:C98)</f>
        <v>0.14595648403902681</v>
      </c>
    </row>
    <row r="97" spans="1:6" ht="14.25" x14ac:dyDescent="0.2">
      <c r="A97" s="5" t="s">
        <v>149</v>
      </c>
      <c r="B97" s="6">
        <f>VLOOKUP(A97,'Exported Results'!A$42:D$161,4,FALSE)</f>
        <v>27.166440963745117</v>
      </c>
      <c r="C97" s="6">
        <f t="shared" si="3"/>
        <v>27.166440963745117</v>
      </c>
      <c r="D97" s="3" t="str">
        <f>VLOOKUP(A97,'Exported Results'!A$42:D$161,2,FALSE)</f>
        <v>8.7.b</v>
      </c>
    </row>
    <row r="98" spans="1:6" ht="14.25" x14ac:dyDescent="0.2">
      <c r="A98" s="5" t="s">
        <v>150</v>
      </c>
      <c r="B98" s="6">
        <f>VLOOKUP(A98,'Exported Results'!A$42:D$161,4,FALSE)</f>
        <v>26.969581604003906</v>
      </c>
      <c r="C98" s="6">
        <f t="shared" si="3"/>
        <v>26.969581604003906</v>
      </c>
      <c r="D98" s="3" t="str">
        <f>VLOOKUP(A98,'Exported Results'!A$42:D$161,2,FALSE)</f>
        <v>8.7.c</v>
      </c>
    </row>
    <row r="99" spans="1:6" ht="14.25" x14ac:dyDescent="0.2">
      <c r="A99" s="5" t="s">
        <v>151</v>
      </c>
      <c r="B99" s="6">
        <f>VLOOKUP(A99,'Exported Results'!A$42:D$161,4,FALSE)</f>
        <v>27.430292129516602</v>
      </c>
      <c r="C99" s="6">
        <f t="shared" si="3"/>
        <v>27.430292129516602</v>
      </c>
      <c r="D99" s="3" t="str">
        <f>VLOOKUP(A99,'Exported Results'!A$42:D$161,2,FALSE)</f>
        <v>8.8.a</v>
      </c>
      <c r="E99" s="13">
        <f>AVERAGE(C99:C101)</f>
        <v>27.242184956868488</v>
      </c>
      <c r="F99">
        <f>_xlfn.STDEV.P(C99:C101)</f>
        <v>0.13361273033550675</v>
      </c>
    </row>
    <row r="100" spans="1:6" ht="14.25" x14ac:dyDescent="0.2">
      <c r="A100" s="5" t="s">
        <v>152</v>
      </c>
      <c r="B100" s="6">
        <f>VLOOKUP(A100,'Exported Results'!A$42:D$161,4,FALSE)</f>
        <v>27.163633346557617</v>
      </c>
      <c r="C100" s="6">
        <f t="shared" si="3"/>
        <v>27.163633346557617</v>
      </c>
      <c r="D100" s="3" t="str">
        <f>VLOOKUP(A100,'Exported Results'!A$42:D$161,2,FALSE)</f>
        <v>8.8.b</v>
      </c>
    </row>
    <row r="101" spans="1:6" ht="14.25" x14ac:dyDescent="0.2">
      <c r="A101" s="5" t="s">
        <v>153</v>
      </c>
      <c r="B101" s="6">
        <f>VLOOKUP(A101,'Exported Results'!A$42:D$161,4,FALSE)</f>
        <v>27.13262939453125</v>
      </c>
      <c r="C101" s="6">
        <f t="shared" si="3"/>
        <v>27.13262939453125</v>
      </c>
      <c r="D101" s="3" t="str">
        <f>VLOOKUP(A101,'Exported Results'!A$42:D$161,2,FALSE)</f>
        <v>8.8.c</v>
      </c>
    </row>
    <row r="102" spans="1:6" ht="14.25" x14ac:dyDescent="0.2">
      <c r="A102" s="5" t="s">
        <v>154</v>
      </c>
      <c r="B102" s="6">
        <f>VLOOKUP(A102,'Exported Results'!A$42:D$161,4,FALSE)</f>
        <v>27.78759765625</v>
      </c>
      <c r="C102" s="6">
        <f t="shared" si="3"/>
        <v>27.78759765625</v>
      </c>
      <c r="D102" s="3" t="str">
        <f>VLOOKUP(A102,'Exported Results'!A$42:D$161,2,FALSE)</f>
        <v>8.9.a</v>
      </c>
      <c r="E102" s="13">
        <f>AVERAGE(C102:C104)</f>
        <v>27.585635503133137</v>
      </c>
      <c r="F102">
        <f>_xlfn.STDEV.P(C102:C104)</f>
        <v>0.14805801086778889</v>
      </c>
    </row>
    <row r="103" spans="1:6" ht="14.25" x14ac:dyDescent="0.2">
      <c r="A103" s="5" t="s">
        <v>155</v>
      </c>
      <c r="B103" s="6">
        <f>VLOOKUP(A103,'Exported Results'!A$42:D$161,4,FALSE)</f>
        <v>27.436798095703125</v>
      </c>
      <c r="C103" s="6">
        <f t="shared" si="3"/>
        <v>27.436798095703125</v>
      </c>
      <c r="D103" s="3" t="str">
        <f>VLOOKUP(A103,'Exported Results'!A$42:D$161,2,FALSE)</f>
        <v>8.9.b</v>
      </c>
    </row>
    <row r="104" spans="1:6" ht="14.25" x14ac:dyDescent="0.2">
      <c r="A104" s="5" t="s">
        <v>156</v>
      </c>
      <c r="B104" s="6">
        <f>VLOOKUP(A104,'Exported Results'!A$42:D$161,4,FALSE)</f>
        <v>27.532510757446289</v>
      </c>
      <c r="C104" s="6">
        <f t="shared" si="3"/>
        <v>27.532510757446289</v>
      </c>
      <c r="D104" s="3" t="str">
        <f>VLOOKUP(A104,'Exported Results'!A$42:D$161,2,FALSE)</f>
        <v>8.9.c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3"/>
        <v>40.1</v>
      </c>
      <c r="D105" s="3" t="str">
        <f>VLOOKUP(A105,'Exported Results'!A$42:D$161,2,FALSE)</f>
        <v/>
      </c>
      <c r="E105" s="13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3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3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3"/>
        <v>40.1</v>
      </c>
      <c r="D108" s="3" t="str">
        <f>VLOOKUP(A108,'Exported Results'!A$42:D$161,2,FALSE)</f>
        <v/>
      </c>
      <c r="E108" s="13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3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3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3"/>
        <v>40.1</v>
      </c>
      <c r="D111" s="3" t="str">
        <f>VLOOKUP(A111,'Exported Results'!A$42:D$161,2,FALSE)</f>
        <v/>
      </c>
      <c r="E111" s="13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3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3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3"/>
        <v>40.1</v>
      </c>
      <c r="D114" s="3" t="str">
        <f>VLOOKUP(A114,'Exported Results'!A$42:D$161,2,FALSE)</f>
        <v/>
      </c>
      <c r="E114" s="13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3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3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3"/>
        <v>40.1</v>
      </c>
      <c r="D117" s="3" t="str">
        <f>VLOOKUP(A117,'Exported Results'!A$42:D$161,2,FALSE)</f>
        <v/>
      </c>
      <c r="E117" s="13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3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3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3"/>
        <v>40.1</v>
      </c>
      <c r="D120" s="3" t="str">
        <f>VLOOKUP(A120,'Exported Results'!A$42:D$161,2,FALSE)</f>
        <v/>
      </c>
      <c r="E120" s="13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3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3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ref="C123:C137" si="4">IF(B123="Undetermined",40.1,B123)</f>
        <v>40.1</v>
      </c>
      <c r="D123" s="3" t="str">
        <f>VLOOKUP(A123,'Exported Results'!A$162:D$281,2,FALSE)</f>
        <v>Blank 1.a</v>
      </c>
      <c r="E123" s="13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4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4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26.439289093017578</v>
      </c>
      <c r="C126" s="6">
        <f t="shared" si="4"/>
        <v>26.439289093017578</v>
      </c>
      <c r="D126" s="3" t="str">
        <f>VLOOKUP(A126,'Exported Results'!A$162:D$281,2,FALSE)</f>
        <v>STD 10a</v>
      </c>
      <c r="E126" s="13">
        <f>AVERAGE(C126:C128)</f>
        <v>26.394093831380207</v>
      </c>
      <c r="F126">
        <f>_xlfn.STDEV.P(C126:C128)</f>
        <v>3.6956664924846609E-2</v>
      </c>
    </row>
    <row r="127" spans="1:6" ht="14.25" x14ac:dyDescent="0.2">
      <c r="A127" s="5" t="s">
        <v>179</v>
      </c>
      <c r="B127" s="6">
        <f>VLOOKUP(A127,'Exported Results'!A$162:D$281,4,FALSE)</f>
        <v>26.394227981567383</v>
      </c>
      <c r="C127" s="6">
        <f t="shared" si="4"/>
        <v>26.394227981567383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26.348764419555664</v>
      </c>
      <c r="C128" s="6">
        <f t="shared" si="4"/>
        <v>26.348764419555664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27.281583786010742</v>
      </c>
      <c r="C129" s="6">
        <f t="shared" si="4"/>
        <v>27.281583786010742</v>
      </c>
      <c r="D129" s="3" t="str">
        <f>VLOOKUP(A129,'Exported Results'!A$162:D$281,2,FALSE)</f>
        <v>STD 20a</v>
      </c>
      <c r="E129" s="13">
        <f>AVERAGE(C129:C131)</f>
        <v>27.180834452311199</v>
      </c>
      <c r="F129">
        <f>_xlfn.STDEV.P(C129:C131)</f>
        <v>7.2766424320861806E-2</v>
      </c>
    </row>
    <row r="130" spans="1:6" ht="14.25" x14ac:dyDescent="0.2">
      <c r="A130" s="5" t="s">
        <v>182</v>
      </c>
      <c r="B130" s="6">
        <f>VLOOKUP(A130,'Exported Results'!A$162:D$281,4,FALSE)</f>
        <v>27.148614883422852</v>
      </c>
      <c r="C130" s="6">
        <f t="shared" si="4"/>
        <v>27.148614883422852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27.1123046875</v>
      </c>
      <c r="C131" s="6">
        <f t="shared" si="4"/>
        <v>27.1123046875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28.028755187988281</v>
      </c>
      <c r="C132" s="6">
        <f t="shared" si="4"/>
        <v>28.028755187988281</v>
      </c>
      <c r="D132" s="3" t="str">
        <f>VLOOKUP(A132,'Exported Results'!A$162:D$281,2,FALSE)</f>
        <v>STD 40a</v>
      </c>
      <c r="E132" s="13">
        <f>AVERAGE(C132:C134)</f>
        <v>28.20769437154134</v>
      </c>
      <c r="F132">
        <f>_xlfn.STDEV.P(C132:C134)</f>
        <v>0.12668999761299254</v>
      </c>
    </row>
    <row r="133" spans="1:6" ht="14.25" x14ac:dyDescent="0.2">
      <c r="A133" s="5" t="s">
        <v>185</v>
      </c>
      <c r="B133" s="6">
        <f>VLOOKUP(A133,'Exported Results'!A$162:D$281,4,FALSE)</f>
        <v>28.304981231689453</v>
      </c>
      <c r="C133" s="6">
        <f t="shared" si="4"/>
        <v>28.304981231689453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28.289346694946289</v>
      </c>
      <c r="C134" s="6">
        <f t="shared" si="4"/>
        <v>28.289346694946289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29.18773078918457</v>
      </c>
      <c r="C135" s="6">
        <f t="shared" si="4"/>
        <v>29.18773078918457</v>
      </c>
      <c r="D135" s="3" t="str">
        <f>VLOOKUP(A135,'Exported Results'!A$162:D$281,2,FALSE)</f>
        <v>STD 80a</v>
      </c>
      <c r="E135" s="13">
        <f>AVERAGE(C135:C137)</f>
        <v>29.255451202392578</v>
      </c>
      <c r="F135">
        <f>_xlfn.STDEV.P(C135:C137)</f>
        <v>8.2444979349606415E-2</v>
      </c>
    </row>
    <row r="136" spans="1:6" ht="14.25" x14ac:dyDescent="0.2">
      <c r="A136" s="5" t="s">
        <v>188</v>
      </c>
      <c r="B136" s="6">
        <f>VLOOKUP(A136,'Exported Results'!A$162:D$281,4,FALSE)</f>
        <v>29.207115173339844</v>
      </c>
      <c r="C136" s="6">
        <f t="shared" si="4"/>
        <v>29.207115173339844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29.37150764465332</v>
      </c>
      <c r="C137" s="6">
        <f t="shared" si="4"/>
        <v>29.37150764465332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30.283435821533203</v>
      </c>
      <c r="C138" s="6">
        <f t="shared" ref="C138:C190" si="5">IF(B138="Undetermined",40.1,B138)</f>
        <v>30.283435821533203</v>
      </c>
      <c r="D138" s="3" t="str">
        <f>VLOOKUP(A138,'Exported Results'!A$162:D$281,2,FALSE)</f>
        <v>STD 160a</v>
      </c>
      <c r="E138" s="13">
        <f>AVERAGE(C138:C140)</f>
        <v>30.396799723307293</v>
      </c>
      <c r="F138">
        <f>_xlfn.STDEV.P(C138:C140)</f>
        <v>9.7930669974125861E-2</v>
      </c>
    </row>
    <row r="139" spans="1:6" ht="14.25" x14ac:dyDescent="0.2">
      <c r="A139" s="5" t="s">
        <v>191</v>
      </c>
      <c r="B139" s="6">
        <f>VLOOKUP(A139,'Exported Results'!A$162:D$281,4,FALSE)</f>
        <v>30.522380828857422</v>
      </c>
      <c r="C139" s="6">
        <f t="shared" si="5"/>
        <v>30.522380828857422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30.38458251953125</v>
      </c>
      <c r="C140" s="6">
        <f t="shared" si="5"/>
        <v>30.38458251953125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31.489595413208008</v>
      </c>
      <c r="C141" s="6">
        <f t="shared" si="5"/>
        <v>31.489595413208008</v>
      </c>
      <c r="D141" s="3" t="str">
        <f>VLOOKUP(A141,'Exported Results'!A$162:D$281,2,FALSE)</f>
        <v>STD 320a</v>
      </c>
      <c r="E141" s="13">
        <f>AVERAGE(C141:C143)</f>
        <v>31.583166122436523</v>
      </c>
      <c r="F141">
        <f>_xlfn.STDEV.P(C141:C143)</f>
        <v>0.13457537063150105</v>
      </c>
    </row>
    <row r="142" spans="1:6" ht="14.25" x14ac:dyDescent="0.2">
      <c r="A142" s="5" t="s">
        <v>194</v>
      </c>
      <c r="B142" s="6">
        <f>VLOOKUP(A142,'Exported Results'!A$162:D$281,4,FALSE)</f>
        <v>31.486427307128906</v>
      </c>
      <c r="C142" s="6">
        <f t="shared" si="5"/>
        <v>31.486427307128906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31.773475646972656</v>
      </c>
      <c r="C143" s="6">
        <f t="shared" si="5"/>
        <v>31.773475646972656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27.873397827148438</v>
      </c>
      <c r="C144" s="6">
        <f t="shared" si="5"/>
        <v>27.873397827148438</v>
      </c>
      <c r="D144" s="3" t="str">
        <f>VLOOKUP(A144,'Exported Results'!A$162:D$281,2,FALSE)</f>
        <v>0.1.a</v>
      </c>
      <c r="E144" s="13">
        <f>AVERAGE(C144:C146)</f>
        <v>28.052827199300129</v>
      </c>
      <c r="F144">
        <f>_xlfn.STDEV.P(C144:C146)</f>
        <v>0.12844740275608232</v>
      </c>
    </row>
    <row r="145" spans="1:6" ht="14.25" x14ac:dyDescent="0.2">
      <c r="A145" s="5" t="s">
        <v>197</v>
      </c>
      <c r="B145" s="6">
        <f>VLOOKUP(A145,'Exported Results'!A$162:D$281,4,FALSE)</f>
        <v>28.167076110839844</v>
      </c>
      <c r="C145" s="6">
        <f t="shared" si="5"/>
        <v>28.167076110839844</v>
      </c>
      <c r="D145" s="3" t="str">
        <f>VLOOKUP(A145,'Exported Results'!A$162:D$281,2,FALSE)</f>
        <v>0.1.b</v>
      </c>
    </row>
    <row r="146" spans="1:6" ht="14.25" x14ac:dyDescent="0.2">
      <c r="A146" s="5" t="s">
        <v>198</v>
      </c>
      <c r="B146" s="6">
        <f>VLOOKUP(A146,'Exported Results'!A$162:D$281,4,FALSE)</f>
        <v>28.118007659912109</v>
      </c>
      <c r="C146" s="6">
        <f t="shared" si="5"/>
        <v>28.118007659912109</v>
      </c>
      <c r="D146" s="3" t="str">
        <f>VLOOKUP(A146,'Exported Results'!A$162:D$281,2,FALSE)</f>
        <v>0.1.c</v>
      </c>
    </row>
    <row r="147" spans="1:6" ht="14.25" x14ac:dyDescent="0.2">
      <c r="A147" s="5" t="s">
        <v>199</v>
      </c>
      <c r="B147" s="6">
        <f>VLOOKUP(A147,'Exported Results'!A$162:D$281,4,FALSE)</f>
        <v>28.198263168334961</v>
      </c>
      <c r="C147" s="6">
        <f t="shared" si="5"/>
        <v>28.198263168334961</v>
      </c>
      <c r="D147" s="3" t="str">
        <f>VLOOKUP(A147,'Exported Results'!A$162:D$281,2,FALSE)</f>
        <v>0.2.a</v>
      </c>
      <c r="E147" s="13">
        <f>AVERAGE(C147:C149)</f>
        <v>28.274887084960938</v>
      </c>
      <c r="F147">
        <f>_xlfn.STDEV.P(C147:C149)</f>
        <v>9.3967907682345378E-2</v>
      </c>
    </row>
    <row r="148" spans="1:6" ht="14.25" x14ac:dyDescent="0.2">
      <c r="A148" s="5" t="s">
        <v>200</v>
      </c>
      <c r="B148" s="6">
        <f>VLOOKUP(A148,'Exported Results'!A$162:D$281,4,FALSE)</f>
        <v>28.407228469848633</v>
      </c>
      <c r="C148" s="6">
        <f t="shared" si="5"/>
        <v>28.407228469848633</v>
      </c>
      <c r="D148" s="3" t="str">
        <f>VLOOKUP(A148,'Exported Results'!A$162:D$281,2,FALSE)</f>
        <v>0.2.b</v>
      </c>
    </row>
    <row r="149" spans="1:6" ht="14.25" x14ac:dyDescent="0.2">
      <c r="A149" s="5" t="s">
        <v>201</v>
      </c>
      <c r="B149" s="6">
        <f>VLOOKUP(A149,'Exported Results'!A$162:D$281,4,FALSE)</f>
        <v>28.219169616699219</v>
      </c>
      <c r="C149" s="6">
        <f t="shared" si="5"/>
        <v>28.219169616699219</v>
      </c>
      <c r="D149" s="3" t="str">
        <f>VLOOKUP(A149,'Exported Results'!A$162:D$281,2,FALSE)</f>
        <v>0.2.c</v>
      </c>
    </row>
    <row r="150" spans="1:6" ht="14.25" x14ac:dyDescent="0.2">
      <c r="A150" s="5" t="s">
        <v>202</v>
      </c>
      <c r="B150" s="6">
        <f>VLOOKUP(A150,'Exported Results'!A$162:D$281,4,FALSE)</f>
        <v>28.28123664855957</v>
      </c>
      <c r="C150" s="6">
        <f t="shared" si="5"/>
        <v>28.28123664855957</v>
      </c>
      <c r="D150" s="3" t="str">
        <f>VLOOKUP(A150,'Exported Results'!A$162:D$281,2,FALSE)</f>
        <v>0.3.a</v>
      </c>
      <c r="E150" s="13">
        <f>AVERAGE(C150:C152)</f>
        <v>28.305674870808918</v>
      </c>
      <c r="F150">
        <f>_xlfn.STDEV.P(C150:C152)</f>
        <v>2.5372008216622239E-2</v>
      </c>
    </row>
    <row r="151" spans="1:6" ht="14.25" x14ac:dyDescent="0.2">
      <c r="A151" s="5" t="s">
        <v>203</v>
      </c>
      <c r="B151" s="6">
        <f>VLOOKUP(A151,'Exported Results'!A$162:D$281,4,FALSE)</f>
        <v>28.340646743774414</v>
      </c>
      <c r="C151" s="6">
        <f t="shared" si="5"/>
        <v>28.340646743774414</v>
      </c>
      <c r="D151" s="3" t="str">
        <f>VLOOKUP(A151,'Exported Results'!A$162:D$281,2,FALSE)</f>
        <v>0.3.b</v>
      </c>
    </row>
    <row r="152" spans="1:6" ht="14.25" x14ac:dyDescent="0.2">
      <c r="A152" s="5" t="s">
        <v>204</v>
      </c>
      <c r="B152" s="6">
        <f>VLOOKUP(A152,'Exported Results'!A$162:D$281,4,FALSE)</f>
        <v>28.295141220092773</v>
      </c>
      <c r="C152" s="6">
        <f t="shared" si="5"/>
        <v>28.295141220092773</v>
      </c>
      <c r="D152" s="3" t="str">
        <f>VLOOKUP(A152,'Exported Results'!A$162:D$281,2,FALSE)</f>
        <v>0.3.c</v>
      </c>
    </row>
    <row r="153" spans="1:6" ht="14.25" x14ac:dyDescent="0.2">
      <c r="A153" s="5" t="s">
        <v>205</v>
      </c>
      <c r="B153" s="6">
        <f>VLOOKUP(A153,'Exported Results'!A$162:D$281,4,FALSE)</f>
        <v>28.304067611694336</v>
      </c>
      <c r="C153" s="6">
        <f t="shared" si="5"/>
        <v>28.304067611694336</v>
      </c>
      <c r="D153" s="3" t="str">
        <f>VLOOKUP(A153,'Exported Results'!A$162:D$281,2,FALSE)</f>
        <v>2.1.a</v>
      </c>
      <c r="E153" s="13">
        <f>AVERAGE(C153:C155)</f>
        <v>28.260671615600586</v>
      </c>
      <c r="F153">
        <f>_xlfn.STDEV.P(C153:C155)</f>
        <v>4.3654649828796063E-2</v>
      </c>
    </row>
    <row r="154" spans="1:6" ht="14.25" x14ac:dyDescent="0.2">
      <c r="A154" s="5" t="s">
        <v>206</v>
      </c>
      <c r="B154" s="6">
        <f>VLOOKUP(A154,'Exported Results'!A$162:D$281,4,FALSE)</f>
        <v>28.200944900512695</v>
      </c>
      <c r="C154" s="6">
        <f t="shared" si="5"/>
        <v>28.200944900512695</v>
      </c>
      <c r="D154" s="3" t="str">
        <f>VLOOKUP(A154,'Exported Results'!A$162:D$281,2,FALSE)</f>
        <v>2.1.b</v>
      </c>
    </row>
    <row r="155" spans="1:6" ht="14.25" x14ac:dyDescent="0.2">
      <c r="A155" s="5" t="s">
        <v>207</v>
      </c>
      <c r="B155" s="6">
        <f>VLOOKUP(A155,'Exported Results'!A$162:D$281,4,FALSE)</f>
        <v>28.277002334594727</v>
      </c>
      <c r="C155" s="6">
        <f t="shared" si="5"/>
        <v>28.277002334594727</v>
      </c>
      <c r="D155" s="3" t="str">
        <f>VLOOKUP(A155,'Exported Results'!A$162:D$281,2,FALSE)</f>
        <v>2.1.c</v>
      </c>
    </row>
    <row r="156" spans="1:6" ht="14.25" x14ac:dyDescent="0.2">
      <c r="A156" s="5" t="s">
        <v>208</v>
      </c>
      <c r="B156" s="6">
        <f>VLOOKUP(A156,'Exported Results'!A$162:D$281,4,FALSE)</f>
        <v>28.381513595581055</v>
      </c>
      <c r="C156" s="6">
        <f t="shared" si="5"/>
        <v>28.381513595581055</v>
      </c>
      <c r="D156" s="3" t="str">
        <f>VLOOKUP(A156,'Exported Results'!A$162:D$281,2,FALSE)</f>
        <v>2.2.a</v>
      </c>
      <c r="E156" s="13">
        <f>AVERAGE(C156:C158)</f>
        <v>28.289199193318684</v>
      </c>
      <c r="F156">
        <f>_xlfn.STDEV.P(C156:C158)</f>
        <v>0.12373897954593933</v>
      </c>
    </row>
    <row r="157" spans="1:6" ht="14.25" x14ac:dyDescent="0.2">
      <c r="A157" s="5" t="s">
        <v>209</v>
      </c>
      <c r="B157" s="6">
        <f>VLOOKUP(A157,'Exported Results'!A$162:D$281,4,FALSE)</f>
        <v>28.114295959472656</v>
      </c>
      <c r="C157" s="6">
        <f t="shared" si="5"/>
        <v>28.114295959472656</v>
      </c>
      <c r="D157" s="3" t="str">
        <f>VLOOKUP(A157,'Exported Results'!A$162:D$281,2,FALSE)</f>
        <v>2.2.b</v>
      </c>
    </row>
    <row r="158" spans="1:6" ht="14.25" x14ac:dyDescent="0.2">
      <c r="A158" s="5" t="s">
        <v>210</v>
      </c>
      <c r="B158" s="6">
        <f>VLOOKUP(A158,'Exported Results'!A$162:D$281,4,FALSE)</f>
        <v>28.371788024902344</v>
      </c>
      <c r="C158" s="6">
        <f t="shared" si="5"/>
        <v>28.371788024902344</v>
      </c>
      <c r="D158" s="3" t="str">
        <f>VLOOKUP(A158,'Exported Results'!A$162:D$281,2,FALSE)</f>
        <v>2.2.c</v>
      </c>
    </row>
    <row r="159" spans="1:6" ht="14.25" x14ac:dyDescent="0.2">
      <c r="A159" s="5" t="s">
        <v>211</v>
      </c>
      <c r="B159" s="6">
        <f>VLOOKUP(A159,'Exported Results'!A$162:D$281,4,FALSE)</f>
        <v>28.183422088623047</v>
      </c>
      <c r="C159" s="6">
        <f t="shared" si="5"/>
        <v>28.183422088623047</v>
      </c>
      <c r="D159" s="3" t="str">
        <f>VLOOKUP(A159,'Exported Results'!A$162:D$281,2,FALSE)</f>
        <v>2.3.a</v>
      </c>
      <c r="E159" s="13">
        <f>AVERAGE(C159:C161)</f>
        <v>28.075366973876953</v>
      </c>
      <c r="F159">
        <f>_xlfn.STDEV.P(C159:C161)</f>
        <v>9.914657822502515E-2</v>
      </c>
    </row>
    <row r="160" spans="1:6" ht="14.25" x14ac:dyDescent="0.2">
      <c r="A160" s="5" t="s">
        <v>212</v>
      </c>
      <c r="B160" s="6">
        <f>VLOOKUP(A160,'Exported Results'!A$162:D$281,4,FALSE)</f>
        <v>28.098722457885742</v>
      </c>
      <c r="C160" s="6">
        <f t="shared" si="5"/>
        <v>28.098722457885742</v>
      </c>
      <c r="D160" s="3" t="str">
        <f>VLOOKUP(A160,'Exported Results'!A$162:D$281,2,FALSE)</f>
        <v>2.3.b</v>
      </c>
    </row>
    <row r="161" spans="1:6" ht="14.25" x14ac:dyDescent="0.2">
      <c r="A161" s="5" t="s">
        <v>213</v>
      </c>
      <c r="B161" s="6">
        <f>VLOOKUP(A161,'Exported Results'!A$162:D$281,4,FALSE)</f>
        <v>27.94395637512207</v>
      </c>
      <c r="C161" s="6">
        <f t="shared" si="5"/>
        <v>27.94395637512207</v>
      </c>
      <c r="D161" s="3" t="str">
        <f>VLOOKUP(A161,'Exported Results'!A$162:D$281,2,FALSE)</f>
        <v>2.3.c</v>
      </c>
    </row>
    <row r="162" spans="1:6" ht="14.25" x14ac:dyDescent="0.2">
      <c r="A162" s="5" t="s">
        <v>214</v>
      </c>
      <c r="B162" s="6">
        <f>VLOOKUP(A162,'Exported Results'!A$162:D$281,4,FALSE)</f>
        <v>28.254764556884766</v>
      </c>
      <c r="C162" s="6">
        <f t="shared" si="5"/>
        <v>28.254764556884766</v>
      </c>
      <c r="D162" s="3" t="str">
        <f>VLOOKUP(A162,'Exported Results'!A$162:D$281,2,FALSE)</f>
        <v>8.1.a</v>
      </c>
      <c r="E162" s="13">
        <f>AVERAGE(C162:C164)</f>
        <v>28.259968439737957</v>
      </c>
      <c r="F162">
        <f>_xlfn.STDEV.P(C162:C164)</f>
        <v>5.9513891345527739E-3</v>
      </c>
    </row>
    <row r="163" spans="1:6" ht="14.25" x14ac:dyDescent="0.2">
      <c r="A163" s="5" t="s">
        <v>215</v>
      </c>
      <c r="B163" s="6">
        <f>VLOOKUP(A163,'Exported Results'!A$162:D$281,4,FALSE)</f>
        <v>28.268299102783203</v>
      </c>
      <c r="C163" s="6">
        <f t="shared" si="5"/>
        <v>28.268299102783203</v>
      </c>
      <c r="D163" s="3" t="str">
        <f>VLOOKUP(A163,'Exported Results'!A$162:D$281,2,FALSE)</f>
        <v>8.1.b</v>
      </c>
    </row>
    <row r="164" spans="1:6" ht="14.25" x14ac:dyDescent="0.2">
      <c r="A164" s="5" t="s">
        <v>216</v>
      </c>
      <c r="B164" s="6">
        <f>VLOOKUP(A164,'Exported Results'!A$162:D$281,4,FALSE)</f>
        <v>28.256841659545898</v>
      </c>
      <c r="C164" s="6">
        <f t="shared" si="5"/>
        <v>28.256841659545898</v>
      </c>
      <c r="D164" s="3" t="str">
        <f>VLOOKUP(A164,'Exported Results'!A$162:D$281,2,FALSE)</f>
        <v>8.1.c</v>
      </c>
    </row>
    <row r="165" spans="1:6" ht="14.25" x14ac:dyDescent="0.2">
      <c r="A165" s="5" t="s">
        <v>217</v>
      </c>
      <c r="B165" s="6">
        <f>VLOOKUP(A165,'Exported Results'!A$162:D$281,4,FALSE)</f>
        <v>28.42015266418457</v>
      </c>
      <c r="C165" s="6">
        <f t="shared" si="5"/>
        <v>28.42015266418457</v>
      </c>
      <c r="D165" s="3" t="str">
        <f>VLOOKUP(A165,'Exported Results'!A$162:D$281,2,FALSE)</f>
        <v>8.2.a</v>
      </c>
      <c r="E165" s="13">
        <f>AVERAGE(C165:C167)</f>
        <v>28.362014770507813</v>
      </c>
      <c r="F165">
        <f>_xlfn.STDEV.P(C165:C167)</f>
        <v>8.5022394680049282E-2</v>
      </c>
    </row>
    <row r="166" spans="1:6" ht="14.25" x14ac:dyDescent="0.2">
      <c r="A166" s="5" t="s">
        <v>218</v>
      </c>
      <c r="B166" s="6">
        <f>VLOOKUP(A166,'Exported Results'!A$162:D$281,4,FALSE)</f>
        <v>28.241796493530273</v>
      </c>
      <c r="C166" s="6">
        <f t="shared" si="5"/>
        <v>28.241796493530273</v>
      </c>
      <c r="D166" s="3" t="str">
        <f>VLOOKUP(A166,'Exported Results'!A$162:D$281,2,FALSE)</f>
        <v>8.2.b</v>
      </c>
    </row>
    <row r="167" spans="1:6" ht="14.25" x14ac:dyDescent="0.2">
      <c r="A167" s="5" t="s">
        <v>219</v>
      </c>
      <c r="B167" s="6">
        <f>VLOOKUP(A167,'Exported Results'!A$162:D$281,4,FALSE)</f>
        <v>28.424095153808594</v>
      </c>
      <c r="C167" s="6">
        <f t="shared" si="5"/>
        <v>28.424095153808594</v>
      </c>
      <c r="D167" s="3" t="str">
        <f>VLOOKUP(A167,'Exported Results'!A$162:D$281,2,FALSE)</f>
        <v>8.2.c</v>
      </c>
    </row>
    <row r="168" spans="1:6" ht="14.25" x14ac:dyDescent="0.2">
      <c r="A168" s="5" t="s">
        <v>220</v>
      </c>
      <c r="B168" s="6">
        <f>VLOOKUP(A168,'Exported Results'!A$162:D$281,4,FALSE)</f>
        <v>28.12896728515625</v>
      </c>
      <c r="C168" s="6">
        <f t="shared" si="5"/>
        <v>28.12896728515625</v>
      </c>
      <c r="D168" s="3" t="str">
        <f>VLOOKUP(A168,'Exported Results'!A$162:D$281,2,FALSE)</f>
        <v>8.3.a</v>
      </c>
      <c r="E168" s="13">
        <f>AVERAGE(C168:C170)</f>
        <v>28.074986775716145</v>
      </c>
      <c r="F168">
        <f>_xlfn.STDEV.P(C168:C170)</f>
        <v>3.834266242571345E-2</v>
      </c>
    </row>
    <row r="169" spans="1:6" ht="14.25" x14ac:dyDescent="0.2">
      <c r="A169" s="5" t="s">
        <v>221</v>
      </c>
      <c r="B169" s="6">
        <f>VLOOKUP(A169,'Exported Results'!A$162:D$281,4,FALSE)</f>
        <v>28.043544769287109</v>
      </c>
      <c r="C169" s="6">
        <f t="shared" si="5"/>
        <v>28.043544769287109</v>
      </c>
      <c r="D169" s="3" t="str">
        <f>VLOOKUP(A169,'Exported Results'!A$162:D$281,2,FALSE)</f>
        <v>8.3.b</v>
      </c>
    </row>
    <row r="170" spans="1:6" ht="14.25" x14ac:dyDescent="0.2">
      <c r="A170" s="5" t="s">
        <v>222</v>
      </c>
      <c r="B170" s="6">
        <f>VLOOKUP(A170,'Exported Results'!A$162:D$281,4,FALSE)</f>
        <v>28.052448272705078</v>
      </c>
      <c r="C170" s="6">
        <f t="shared" si="5"/>
        <v>28.052448272705078</v>
      </c>
      <c r="D170" s="3" t="str">
        <f>VLOOKUP(A170,'Exported Results'!A$162:D$281,2,FALSE)</f>
        <v>8.3.c</v>
      </c>
    </row>
    <row r="171" spans="1:6" ht="14.25" x14ac:dyDescent="0.2">
      <c r="A171" s="5" t="s">
        <v>223</v>
      </c>
      <c r="B171" s="6">
        <f>VLOOKUP(A171,'Exported Results'!A$162:D$281,4,FALSE)</f>
        <v>28.002708435058594</v>
      </c>
      <c r="C171" s="6">
        <f t="shared" si="5"/>
        <v>28.002708435058594</v>
      </c>
      <c r="D171" s="3" t="str">
        <f>VLOOKUP(A171,'Exported Results'!A$162:D$281,2,FALSE)</f>
        <v>0.4.a</v>
      </c>
      <c r="E171" s="13">
        <f>AVERAGE(C171:C173)</f>
        <v>27.852994283040363</v>
      </c>
      <c r="F171">
        <f>_xlfn.STDEV.P(C171:C173)</f>
        <v>0.17856450416987951</v>
      </c>
    </row>
    <row r="172" spans="1:6" ht="14.25" x14ac:dyDescent="0.2">
      <c r="A172" s="5" t="s">
        <v>224</v>
      </c>
      <c r="B172" s="6">
        <f>VLOOKUP(A172,'Exported Results'!A$162:D$281,4,FALSE)</f>
        <v>27.602020263671875</v>
      </c>
      <c r="C172" s="6">
        <f t="shared" si="5"/>
        <v>27.602020263671875</v>
      </c>
      <c r="D172" s="3" t="str">
        <f>VLOOKUP(A172,'Exported Results'!A$162:D$281,2,FALSE)</f>
        <v>0.4.b</v>
      </c>
    </row>
    <row r="173" spans="1:6" ht="14.25" x14ac:dyDescent="0.2">
      <c r="A173" s="5" t="s">
        <v>225</v>
      </c>
      <c r="B173" s="6">
        <f>VLOOKUP(A173,'Exported Results'!A$162:D$281,4,FALSE)</f>
        <v>27.954254150390625</v>
      </c>
      <c r="C173" s="6">
        <f t="shared" si="5"/>
        <v>27.954254150390625</v>
      </c>
      <c r="D173" s="3" t="str">
        <f>VLOOKUP(A173,'Exported Results'!A$162:D$281,2,FALSE)</f>
        <v>0.4.c</v>
      </c>
    </row>
    <row r="174" spans="1:6" ht="14.25" x14ac:dyDescent="0.2">
      <c r="A174" s="5" t="s">
        <v>226</v>
      </c>
      <c r="B174" s="6">
        <f>VLOOKUP(A174,'Exported Results'!A$162:D$281,4,FALSE)</f>
        <v>28.250802993774414</v>
      </c>
      <c r="C174" s="6">
        <f t="shared" si="5"/>
        <v>28.250802993774414</v>
      </c>
      <c r="D174" s="3" t="str">
        <f>VLOOKUP(A174,'Exported Results'!A$162:D$281,2,FALSE)</f>
        <v>0.5.a</v>
      </c>
      <c r="E174" s="13">
        <f>AVERAGE(C174:C176)</f>
        <v>28.186541875203449</v>
      </c>
      <c r="F174">
        <f>_xlfn.STDEV.P(C174:C176)</f>
        <v>0.11928481551521128</v>
      </c>
    </row>
    <row r="175" spans="1:6" ht="14.25" x14ac:dyDescent="0.2">
      <c r="A175" s="5" t="s">
        <v>227</v>
      </c>
      <c r="B175" s="6">
        <f>VLOOKUP(A175,'Exported Results'!A$162:D$281,4,FALSE)</f>
        <v>28.019332885742188</v>
      </c>
      <c r="C175" s="6">
        <f t="shared" si="5"/>
        <v>28.019332885742188</v>
      </c>
      <c r="D175" s="3" t="str">
        <f>VLOOKUP(A175,'Exported Results'!A$162:D$281,2,FALSE)</f>
        <v>0.5.b</v>
      </c>
    </row>
    <row r="176" spans="1:6" ht="14.25" x14ac:dyDescent="0.2">
      <c r="A176" s="5" t="s">
        <v>228</v>
      </c>
      <c r="B176" s="6">
        <f>VLOOKUP(A176,'Exported Results'!A$162:D$281,4,FALSE)</f>
        <v>28.28948974609375</v>
      </c>
      <c r="C176" s="6">
        <f t="shared" si="5"/>
        <v>28.28948974609375</v>
      </c>
      <c r="D176" s="3" t="str">
        <f>VLOOKUP(A176,'Exported Results'!A$162:D$281,2,FALSE)</f>
        <v>0.5.c</v>
      </c>
    </row>
    <row r="177" spans="1:6" ht="14.25" x14ac:dyDescent="0.2">
      <c r="A177" s="5" t="s">
        <v>229</v>
      </c>
      <c r="B177" s="6">
        <f>VLOOKUP(A177,'Exported Results'!A$162:D$281,4,FALSE)</f>
        <v>28.865083694458008</v>
      </c>
      <c r="C177" s="6">
        <f t="shared" si="5"/>
        <v>28.865083694458008</v>
      </c>
      <c r="D177" s="3" t="str">
        <f>VLOOKUP(A177,'Exported Results'!A$162:D$281,2,FALSE)</f>
        <v>0.6.a</v>
      </c>
      <c r="E177" s="13">
        <f>AVERAGE(C177:C179)</f>
        <v>28.728039423624676</v>
      </c>
      <c r="F177">
        <f>_xlfn.STDEV.P(C177:C179)</f>
        <v>0.13139386079101906</v>
      </c>
    </row>
    <row r="178" spans="1:6" ht="14.25" x14ac:dyDescent="0.2">
      <c r="A178" s="5" t="s">
        <v>230</v>
      </c>
      <c r="B178" s="6">
        <f>VLOOKUP(A178,'Exported Results'!A$162:D$281,4,FALSE)</f>
        <v>28.550840377807617</v>
      </c>
      <c r="C178" s="6">
        <f t="shared" si="5"/>
        <v>28.550840377807617</v>
      </c>
      <c r="D178" s="3" t="str">
        <f>VLOOKUP(A178,'Exported Results'!A$162:D$281,2,FALSE)</f>
        <v>0.6.b</v>
      </c>
    </row>
    <row r="179" spans="1:6" ht="14.25" x14ac:dyDescent="0.2">
      <c r="A179" s="5" t="s">
        <v>231</v>
      </c>
      <c r="B179" s="6">
        <f>VLOOKUP(A179,'Exported Results'!A$162:D$281,4,FALSE)</f>
        <v>28.768194198608398</v>
      </c>
      <c r="C179" s="6">
        <f t="shared" si="5"/>
        <v>28.768194198608398</v>
      </c>
      <c r="D179" s="3" t="str">
        <f>VLOOKUP(A179,'Exported Results'!A$162:D$281,2,FALSE)</f>
        <v>0.6.c</v>
      </c>
    </row>
    <row r="180" spans="1:6" ht="14.25" x14ac:dyDescent="0.2">
      <c r="A180" s="5" t="s">
        <v>232</v>
      </c>
      <c r="B180" s="6">
        <f>VLOOKUP(A180,'Exported Results'!A$162:D$281,4,FALSE)</f>
        <v>30.91057014465332</v>
      </c>
      <c r="C180" s="6">
        <f t="shared" si="5"/>
        <v>30.91057014465332</v>
      </c>
      <c r="D180" s="3" t="str">
        <f>VLOOKUP(A180,'Exported Results'!A$162:D$281,2,FALSE)</f>
        <v>0.7.a</v>
      </c>
      <c r="E180" s="13">
        <f>AVERAGE(C180:C182)</f>
        <v>30.690798441569012</v>
      </c>
      <c r="F180">
        <f>_xlfn.STDEV.P(C180:C182)</f>
        <v>0.1830233736003572</v>
      </c>
    </row>
    <row r="181" spans="1:6" ht="14.25" x14ac:dyDescent="0.2">
      <c r="A181" s="5" t="s">
        <v>233</v>
      </c>
      <c r="B181" s="6">
        <f>VLOOKUP(A181,'Exported Results'!A$162:D$281,4,FALSE)</f>
        <v>30.699325561523438</v>
      </c>
      <c r="C181" s="6">
        <f t="shared" si="5"/>
        <v>30.699325561523438</v>
      </c>
      <c r="D181" s="3" t="str">
        <f>VLOOKUP(A181,'Exported Results'!A$162:D$281,2,FALSE)</f>
        <v>0.7.b</v>
      </c>
    </row>
    <row r="182" spans="1:6" ht="14.25" x14ac:dyDescent="0.2">
      <c r="A182" s="5" t="s">
        <v>234</v>
      </c>
      <c r="B182" s="6">
        <f>VLOOKUP(A182,'Exported Results'!A$162:D$281,4,FALSE)</f>
        <v>30.462499618530273</v>
      </c>
      <c r="C182" s="6">
        <f t="shared" si="5"/>
        <v>30.462499618530273</v>
      </c>
      <c r="D182" s="3" t="str">
        <f>VLOOKUP(A182,'Exported Results'!A$162:D$281,2,FALSE)</f>
        <v>0.7.c</v>
      </c>
    </row>
    <row r="183" spans="1:6" ht="14.25" x14ac:dyDescent="0.2">
      <c r="A183" s="5" t="s">
        <v>235</v>
      </c>
      <c r="B183" s="6">
        <f>VLOOKUP(A183,'Exported Results'!A$162:D$281,4,FALSE)</f>
        <v>28.552846908569336</v>
      </c>
      <c r="C183" s="16"/>
      <c r="D183" s="3" t="str">
        <f>VLOOKUP(A183,'Exported Results'!A$162:D$281,2,FALSE)</f>
        <v>0.8.a</v>
      </c>
      <c r="E183" s="13">
        <f>AVERAGE(C183:C185)</f>
        <v>27.640660285949707</v>
      </c>
      <c r="F183">
        <f>_xlfn.STDEV.P(C183:C185)</f>
        <v>2.8723716735839844E-2</v>
      </c>
    </row>
    <row r="184" spans="1:6" ht="14.25" x14ac:dyDescent="0.2">
      <c r="A184" s="5" t="s">
        <v>236</v>
      </c>
      <c r="B184" s="6">
        <f>VLOOKUP(A184,'Exported Results'!A$162:D$281,4,FALSE)</f>
        <v>27.669384002685547</v>
      </c>
      <c r="C184" s="6">
        <f t="shared" si="5"/>
        <v>27.669384002685547</v>
      </c>
      <c r="D184" s="3" t="str">
        <f>VLOOKUP(A184,'Exported Results'!A$162:D$281,2,FALSE)</f>
        <v>0.8.b</v>
      </c>
    </row>
    <row r="185" spans="1:6" ht="14.25" x14ac:dyDescent="0.2">
      <c r="A185" s="5" t="s">
        <v>237</v>
      </c>
      <c r="B185" s="6">
        <f>VLOOKUP(A185,'Exported Results'!A$162:D$281,4,FALSE)</f>
        <v>27.611936569213867</v>
      </c>
      <c r="C185" s="6">
        <f t="shared" si="5"/>
        <v>27.611936569213867</v>
      </c>
      <c r="D185" s="3" t="str">
        <f>VLOOKUP(A185,'Exported Results'!A$162:D$281,2,FALSE)</f>
        <v>0.8.c</v>
      </c>
    </row>
    <row r="186" spans="1:6" ht="14.25" x14ac:dyDescent="0.2">
      <c r="A186" s="5" t="s">
        <v>238</v>
      </c>
      <c r="B186" s="6">
        <f>VLOOKUP(A186,'Exported Results'!A$162:D$281,4,FALSE)</f>
        <v>27.974739074707031</v>
      </c>
      <c r="C186" s="6">
        <f t="shared" si="5"/>
        <v>27.974739074707031</v>
      </c>
      <c r="D186" s="3" t="str">
        <f>VLOOKUP(A186,'Exported Results'!A$162:D$281,2,FALSE)</f>
        <v>0.9.a</v>
      </c>
      <c r="E186" s="13">
        <f>AVERAGE(C186:C188)</f>
        <v>27.692381540934246</v>
      </c>
      <c r="F186">
        <f>_xlfn.STDEV.P(C186:C188)</f>
        <v>0.19973844922101353</v>
      </c>
    </row>
    <row r="187" spans="1:6" ht="14.25" x14ac:dyDescent="0.2">
      <c r="A187" s="5" t="s">
        <v>239</v>
      </c>
      <c r="B187" s="6">
        <f>VLOOKUP(A187,'Exported Results'!A$162:D$281,4,FALSE)</f>
        <v>27.544214248657227</v>
      </c>
      <c r="C187" s="6">
        <f t="shared" si="5"/>
        <v>27.544214248657227</v>
      </c>
      <c r="D187" s="3" t="str">
        <f>VLOOKUP(A187,'Exported Results'!A$162:D$281,2,FALSE)</f>
        <v>0.9.b</v>
      </c>
    </row>
    <row r="188" spans="1:6" ht="14.25" x14ac:dyDescent="0.2">
      <c r="A188" s="5" t="s">
        <v>240</v>
      </c>
      <c r="B188" s="6">
        <f>VLOOKUP(A188,'Exported Results'!A$162:D$281,4,FALSE)</f>
        <v>27.558191299438477</v>
      </c>
      <c r="C188" s="6">
        <f t="shared" si="5"/>
        <v>27.558191299438477</v>
      </c>
      <c r="D188" s="3" t="str">
        <f>VLOOKUP(A188,'Exported Results'!A$162:D$281,2,FALSE)</f>
        <v>0.9.c</v>
      </c>
    </row>
    <row r="189" spans="1:6" ht="14.25" x14ac:dyDescent="0.2">
      <c r="A189" s="5" t="s">
        <v>241</v>
      </c>
      <c r="B189" s="6">
        <f>VLOOKUP(A189,'Exported Results'!A$162:D$281,4,FALSE)</f>
        <v>28.547279357910156</v>
      </c>
      <c r="C189" s="6">
        <f t="shared" si="5"/>
        <v>28.547279357910156</v>
      </c>
      <c r="D189" s="3" t="str">
        <f>VLOOKUP(A189,'Exported Results'!A$162:D$281,2,FALSE)</f>
        <v>2.4.a</v>
      </c>
      <c r="E189" s="13">
        <f>AVERAGE(C189:C191)</f>
        <v>28.468692779541016</v>
      </c>
      <c r="F189">
        <f>_xlfn.STDEV.P(C189:C191)</f>
        <v>7.4674401099438029E-2</v>
      </c>
    </row>
    <row r="190" spans="1:6" ht="14.25" x14ac:dyDescent="0.2">
      <c r="A190" s="5" t="s">
        <v>242</v>
      </c>
      <c r="B190" s="6">
        <f>VLOOKUP(A190,'Exported Results'!A$162:D$281,4,FALSE)</f>
        <v>28.368305206298828</v>
      </c>
      <c r="C190" s="6">
        <f t="shared" si="5"/>
        <v>28.368305206298828</v>
      </c>
      <c r="D190" s="3" t="str">
        <f>VLOOKUP(A190,'Exported Results'!A$162:D$281,2,FALSE)</f>
        <v>2.4.b</v>
      </c>
    </row>
    <row r="191" spans="1:6" ht="14.25" x14ac:dyDescent="0.2">
      <c r="A191" s="5" t="s">
        <v>243</v>
      </c>
      <c r="B191" s="6">
        <f>VLOOKUP(A191,'Exported Results'!A$162:D$281,4,FALSE)</f>
        <v>28.490493774414063</v>
      </c>
      <c r="C191" s="6">
        <f t="shared" ref="C191:C212" si="6">IF(B191="Undetermined",40.1,B191)</f>
        <v>28.490493774414063</v>
      </c>
      <c r="D191" s="3" t="str">
        <f>VLOOKUP(A191,'Exported Results'!A$162:D$281,2,FALSE)</f>
        <v>2.4.c</v>
      </c>
    </row>
    <row r="192" spans="1:6" ht="14.25" x14ac:dyDescent="0.2">
      <c r="A192" s="5" t="s">
        <v>244</v>
      </c>
      <c r="B192" s="6">
        <f>VLOOKUP(A192,'Exported Results'!A$162:D$281,4,FALSE)</f>
        <v>29.775333404541016</v>
      </c>
      <c r="C192" s="6">
        <f t="shared" si="6"/>
        <v>29.775333404541016</v>
      </c>
      <c r="D192" s="3" t="str">
        <f>VLOOKUP(A192,'Exported Results'!A$162:D$281,2,FALSE)</f>
        <v>2.5.a</v>
      </c>
      <c r="E192" s="13">
        <f>AVERAGE(C192:C194)</f>
        <v>29.539459228515625</v>
      </c>
      <c r="F192">
        <f>_xlfn.STDEV.P(C192:C194)</f>
        <v>0.1697998613854626</v>
      </c>
    </row>
    <row r="193" spans="1:6" ht="14.25" x14ac:dyDescent="0.2">
      <c r="A193" s="5" t="s">
        <v>245</v>
      </c>
      <c r="B193" s="6">
        <f>VLOOKUP(A193,'Exported Results'!A$162:D$281,4,FALSE)</f>
        <v>29.382528305053711</v>
      </c>
      <c r="C193" s="6">
        <f t="shared" si="6"/>
        <v>29.382528305053711</v>
      </c>
      <c r="D193" s="3" t="str">
        <f>VLOOKUP(A193,'Exported Results'!A$162:D$281,2,FALSE)</f>
        <v>2.5.b</v>
      </c>
    </row>
    <row r="194" spans="1:6" ht="14.25" x14ac:dyDescent="0.2">
      <c r="A194" s="5" t="s">
        <v>246</v>
      </c>
      <c r="B194" s="6">
        <f>VLOOKUP(A194,'Exported Results'!A$162:D$281,4,FALSE)</f>
        <v>29.460515975952148</v>
      </c>
      <c r="C194" s="6">
        <f t="shared" si="6"/>
        <v>29.460515975952148</v>
      </c>
      <c r="D194" s="3" t="str">
        <f>VLOOKUP(A194,'Exported Results'!A$162:D$281,2,FALSE)</f>
        <v>2.5.c</v>
      </c>
    </row>
    <row r="195" spans="1:6" ht="14.25" x14ac:dyDescent="0.2">
      <c r="A195" s="5" t="s">
        <v>247</v>
      </c>
      <c r="B195" s="6">
        <f>VLOOKUP(A195,'Exported Results'!A$162:D$281,4,FALSE)</f>
        <v>28.396236419677734</v>
      </c>
      <c r="C195" s="6">
        <f t="shared" si="6"/>
        <v>28.396236419677734</v>
      </c>
      <c r="D195" s="3" t="str">
        <f>VLOOKUP(A195,'Exported Results'!A$162:D$281,2,FALSE)</f>
        <v>2.6.a</v>
      </c>
      <c r="E195" s="13">
        <f>AVERAGE(C195:C197)</f>
        <v>28.296377182006836</v>
      </c>
      <c r="F195">
        <f>_xlfn.STDEV.P(C195:C197)</f>
        <v>7.0642089734572672E-2</v>
      </c>
    </row>
    <row r="196" spans="1:6" ht="14.25" x14ac:dyDescent="0.2">
      <c r="A196" s="5" t="s">
        <v>248</v>
      </c>
      <c r="B196" s="6">
        <f>VLOOKUP(A196,'Exported Results'!A$162:D$281,4,FALSE)</f>
        <v>28.243886947631836</v>
      </c>
      <c r="C196" s="6">
        <f t="shared" si="6"/>
        <v>28.243886947631836</v>
      </c>
      <c r="D196" s="3" t="str">
        <f>VLOOKUP(A196,'Exported Results'!A$162:D$281,2,FALSE)</f>
        <v>2.6.b</v>
      </c>
    </row>
    <row r="197" spans="1:6" ht="14.25" x14ac:dyDescent="0.2">
      <c r="A197" s="5" t="s">
        <v>249</v>
      </c>
      <c r="B197" s="6">
        <f>VLOOKUP(A197,'Exported Results'!A$162:D$281,4,FALSE)</f>
        <v>28.249008178710938</v>
      </c>
      <c r="C197" s="6">
        <f t="shared" si="6"/>
        <v>28.249008178710938</v>
      </c>
      <c r="D197" s="3" t="str">
        <f>VLOOKUP(A197,'Exported Results'!A$162:D$281,2,FALSE)</f>
        <v>2.6.c</v>
      </c>
    </row>
    <row r="198" spans="1:6" ht="14.25" x14ac:dyDescent="0.2">
      <c r="A198" s="5" t="s">
        <v>250</v>
      </c>
      <c r="B198" s="6">
        <f>VLOOKUP(A198,'Exported Results'!A$162:D$281,4,FALSE)</f>
        <v>27.328292846679688</v>
      </c>
      <c r="C198" s="6">
        <f t="shared" si="6"/>
        <v>27.328292846679688</v>
      </c>
      <c r="D198" s="3" t="str">
        <f>VLOOKUP(A198,'Exported Results'!A$162:D$281,2,FALSE)</f>
        <v>2.7.a</v>
      </c>
      <c r="E198" s="13">
        <f>AVERAGE(C198:C200)</f>
        <v>27.34409459431966</v>
      </c>
      <c r="F198">
        <f>_xlfn.STDEV.P(C198:C200)</f>
        <v>8.2032943161460273E-2</v>
      </c>
    </row>
    <row r="199" spans="1:6" ht="14.25" x14ac:dyDescent="0.2">
      <c r="A199" s="5" t="s">
        <v>251</v>
      </c>
      <c r="B199" s="6">
        <f>VLOOKUP(A199,'Exported Results'!A$162:D$281,4,FALSE)</f>
        <v>27.451528549194336</v>
      </c>
      <c r="C199" s="6">
        <f t="shared" si="6"/>
        <v>27.451528549194336</v>
      </c>
      <c r="D199" s="3" t="str">
        <f>VLOOKUP(A199,'Exported Results'!A$162:D$281,2,FALSE)</f>
        <v>2.7.b</v>
      </c>
    </row>
    <row r="200" spans="1:6" ht="14.25" x14ac:dyDescent="0.2">
      <c r="A200" s="5" t="s">
        <v>252</v>
      </c>
      <c r="B200" s="6">
        <f>VLOOKUP(A200,'Exported Results'!A$162:D$281,4,FALSE)</f>
        <v>27.252462387084961</v>
      </c>
      <c r="C200" s="6">
        <f t="shared" si="6"/>
        <v>27.252462387084961</v>
      </c>
      <c r="D200" s="3" t="str">
        <f>VLOOKUP(A200,'Exported Results'!A$162:D$281,2,FALSE)</f>
        <v>2.7.c</v>
      </c>
    </row>
    <row r="201" spans="1:6" ht="14.25" x14ac:dyDescent="0.2">
      <c r="A201" s="5" t="s">
        <v>253</v>
      </c>
      <c r="B201" s="6" t="str">
        <f>VLOOKUP(A201,'Exported Results'!A$162:D$281,4,FALSE)</f>
        <v>Undetermined</v>
      </c>
      <c r="C201" s="16"/>
      <c r="D201" s="3" t="str">
        <f>VLOOKUP(A201,'Exported Results'!A$162:D$281,2,FALSE)</f>
        <v>2.8.a</v>
      </c>
      <c r="E201" s="13" t="e">
        <f>AVERAGE(C201:C203)</f>
        <v>#DIV/0!</v>
      </c>
      <c r="F201" t="e">
        <f>_xlfn.STDEV.P(C201:C203)</f>
        <v>#DIV/0!</v>
      </c>
    </row>
    <row r="202" spans="1:6" ht="14.25" x14ac:dyDescent="0.2">
      <c r="A202" s="5" t="s">
        <v>254</v>
      </c>
      <c r="B202" s="6" t="str">
        <f>VLOOKUP(A202,'Exported Results'!A$162:D$281,4,FALSE)</f>
        <v>Undetermined</v>
      </c>
      <c r="C202" s="16"/>
      <c r="D202" s="3" t="str">
        <f>VLOOKUP(A202,'Exported Results'!A$162:D$281,2,FALSE)</f>
        <v>2.8.b</v>
      </c>
    </row>
    <row r="203" spans="1:6" ht="14.25" x14ac:dyDescent="0.2">
      <c r="A203" s="5" t="s">
        <v>255</v>
      </c>
      <c r="B203" s="6" t="str">
        <f>VLOOKUP(A203,'Exported Results'!A$162:D$281,4,FALSE)</f>
        <v>Undetermined</v>
      </c>
      <c r="C203" s="16"/>
      <c r="D203" s="3" t="str">
        <f>VLOOKUP(A203,'Exported Results'!A$162:D$281,2,FALSE)</f>
        <v>2.8.c</v>
      </c>
    </row>
    <row r="204" spans="1:6" ht="14.25" x14ac:dyDescent="0.2">
      <c r="A204" s="5" t="s">
        <v>256</v>
      </c>
      <c r="B204" s="6">
        <f>VLOOKUP(A204,'Exported Results'!A$162:D$281,4,FALSE)</f>
        <v>27.996177673339844</v>
      </c>
      <c r="C204" s="6">
        <f t="shared" si="6"/>
        <v>27.996177673339844</v>
      </c>
      <c r="D204" s="3" t="str">
        <f>VLOOKUP(A204,'Exported Results'!A$162:D$281,2,FALSE)</f>
        <v>2.9.a</v>
      </c>
      <c r="E204" s="13">
        <f>AVERAGE(C204:C206)</f>
        <v>28.124680836995442</v>
      </c>
      <c r="F204">
        <f>_xlfn.STDEV.P(C204:C206)</f>
        <v>9.0979567246551429E-2</v>
      </c>
    </row>
    <row r="205" spans="1:6" ht="14.25" x14ac:dyDescent="0.2">
      <c r="A205" s="5" t="s">
        <v>257</v>
      </c>
      <c r="B205" s="6">
        <f>VLOOKUP(A205,'Exported Results'!A$162:D$281,4,FALSE)</f>
        <v>28.183353424072266</v>
      </c>
      <c r="C205" s="6">
        <f t="shared" si="6"/>
        <v>28.183353424072266</v>
      </c>
      <c r="D205" s="3" t="str">
        <f>VLOOKUP(A205,'Exported Results'!A$162:D$281,2,FALSE)</f>
        <v>2.9.b</v>
      </c>
    </row>
    <row r="206" spans="1:6" ht="14.25" x14ac:dyDescent="0.2">
      <c r="A206" s="5" t="s">
        <v>258</v>
      </c>
      <c r="B206" s="6">
        <f>VLOOKUP(A206,'Exported Results'!A$162:D$281,4,FALSE)</f>
        <v>28.194511413574219</v>
      </c>
      <c r="C206" s="6">
        <f t="shared" si="6"/>
        <v>28.194511413574219</v>
      </c>
      <c r="D206" s="3" t="str">
        <f>VLOOKUP(A206,'Exported Results'!A$162:D$281,2,FALSE)</f>
        <v>2.9.c</v>
      </c>
    </row>
    <row r="207" spans="1:6" ht="14.25" x14ac:dyDescent="0.2">
      <c r="A207" s="5" t="s">
        <v>259</v>
      </c>
      <c r="B207" s="6">
        <f>VLOOKUP(A207,'Exported Results'!A$162:D$281,4,FALSE)</f>
        <v>32.997104644775391</v>
      </c>
      <c r="C207" s="16"/>
      <c r="D207" s="3" t="str">
        <f>VLOOKUP(A207,'Exported Results'!A$162:D$281,2,FALSE)</f>
        <v>8.4.a</v>
      </c>
      <c r="E207" s="13" t="e">
        <f>AVERAGE(C207:C209)</f>
        <v>#DIV/0!</v>
      </c>
      <c r="F207" t="e">
        <f>_xlfn.STDEV.P(C207:C209)</f>
        <v>#DIV/0!</v>
      </c>
    </row>
    <row r="208" spans="1:6" ht="14.25" x14ac:dyDescent="0.2">
      <c r="A208" s="5" t="s">
        <v>260</v>
      </c>
      <c r="B208" s="6">
        <f>VLOOKUP(A208,'Exported Results'!A$162:D$281,4,FALSE)</f>
        <v>33.068977355957031</v>
      </c>
      <c r="C208" s="16"/>
      <c r="D208" s="3" t="str">
        <f>VLOOKUP(A208,'Exported Results'!A$162:D$281,2,FALSE)</f>
        <v>8.4.b</v>
      </c>
    </row>
    <row r="209" spans="1:6" ht="14.25" x14ac:dyDescent="0.2">
      <c r="A209" s="5" t="s">
        <v>261</v>
      </c>
      <c r="B209" s="6">
        <f>VLOOKUP(A209,'Exported Results'!A$162:D$281,4,FALSE)</f>
        <v>32.566596984863281</v>
      </c>
      <c r="C209" s="16"/>
      <c r="D209" s="3" t="str">
        <f>VLOOKUP(A209,'Exported Results'!A$162:D$281,2,FALSE)</f>
        <v>8.4.c</v>
      </c>
    </row>
    <row r="210" spans="1:6" ht="14.25" x14ac:dyDescent="0.2">
      <c r="A210" s="5" t="s">
        <v>262</v>
      </c>
      <c r="B210" s="6">
        <f>VLOOKUP(A210,'Exported Results'!A$162:D$281,4,FALSE)</f>
        <v>28.105304718017578</v>
      </c>
      <c r="C210" s="6">
        <f t="shared" si="6"/>
        <v>28.105304718017578</v>
      </c>
      <c r="D210" s="3" t="str">
        <f>VLOOKUP(A210,'Exported Results'!A$162:D$281,2,FALSE)</f>
        <v>8.5.a</v>
      </c>
      <c r="E210" s="13">
        <f>AVERAGE(C210:C212)</f>
        <v>28.102909088134766</v>
      </c>
      <c r="F210">
        <f>_xlfn.STDEV.P(C210:C212)</f>
        <v>1.9520190269150587E-2</v>
      </c>
    </row>
    <row r="211" spans="1:6" ht="14.25" x14ac:dyDescent="0.2">
      <c r="A211" s="5" t="s">
        <v>263</v>
      </c>
      <c r="B211" s="6">
        <f>VLOOKUP(A211,'Exported Results'!A$162:D$281,4,FALSE)</f>
        <v>28.125528335571289</v>
      </c>
      <c r="C211" s="6">
        <f t="shared" si="6"/>
        <v>28.125528335571289</v>
      </c>
      <c r="D211" s="3" t="str">
        <f>VLOOKUP(A211,'Exported Results'!A$162:D$281,2,FALSE)</f>
        <v>8.5.b</v>
      </c>
    </row>
    <row r="212" spans="1:6" ht="14.25" x14ac:dyDescent="0.2">
      <c r="A212" s="5" t="s">
        <v>264</v>
      </c>
      <c r="B212" s="6">
        <f>VLOOKUP(A212,'Exported Results'!A$162:D$281,4,FALSE)</f>
        <v>28.07789421081543</v>
      </c>
      <c r="C212" s="6">
        <f t="shared" si="6"/>
        <v>28.07789421081543</v>
      </c>
      <c r="D212" s="3" t="str">
        <f>VLOOKUP(A212,'Exported Results'!A$162:D$281,2,FALSE)</f>
        <v>8.5.c</v>
      </c>
    </row>
    <row r="213" spans="1:6" ht="14.25" x14ac:dyDescent="0.2">
      <c r="A213" s="5" t="s">
        <v>265</v>
      </c>
      <c r="B213" s="6">
        <f>VLOOKUP(A213,'Exported Results'!A$162:D$281,4,FALSE)</f>
        <v>28.108480453491211</v>
      </c>
      <c r="C213" s="6">
        <f t="shared" ref="C213:C254" si="7">IF(B213="Undetermined",40.1,B213)</f>
        <v>28.108480453491211</v>
      </c>
      <c r="D213" s="3" t="str">
        <f>VLOOKUP(A213,'Exported Results'!A$162:D$281,2,FALSE)</f>
        <v>8.6.a</v>
      </c>
      <c r="E213" s="13">
        <f>AVERAGE(C213:C215)</f>
        <v>27.943627675374348</v>
      </c>
      <c r="F213">
        <f>_xlfn.STDEV.P(C213:C215)</f>
        <v>0.11665001902572192</v>
      </c>
    </row>
    <row r="214" spans="1:6" ht="14.25" x14ac:dyDescent="0.2">
      <c r="A214" s="5" t="s">
        <v>266</v>
      </c>
      <c r="B214" s="6">
        <f>VLOOKUP(A214,'Exported Results'!A$162:D$281,4,FALSE)</f>
        <v>27.855861663818359</v>
      </c>
      <c r="C214" s="6">
        <f t="shared" si="7"/>
        <v>27.855861663818359</v>
      </c>
      <c r="D214" s="3" t="str">
        <f>VLOOKUP(A214,'Exported Results'!A$162:D$281,2,FALSE)</f>
        <v>8.6.b</v>
      </c>
    </row>
    <row r="215" spans="1:6" ht="14.25" x14ac:dyDescent="0.2">
      <c r="A215" s="5" t="s">
        <v>267</v>
      </c>
      <c r="B215" s="6">
        <f>VLOOKUP(A215,'Exported Results'!A$162:D$281,4,FALSE)</f>
        <v>27.866540908813477</v>
      </c>
      <c r="C215" s="6">
        <f t="shared" si="7"/>
        <v>27.866540908813477</v>
      </c>
      <c r="D215" s="3" t="str">
        <f>VLOOKUP(A215,'Exported Results'!A$162:D$281,2,FALSE)</f>
        <v>8.6.c</v>
      </c>
    </row>
    <row r="216" spans="1:6" ht="14.25" x14ac:dyDescent="0.2">
      <c r="A216" s="5" t="s">
        <v>268</v>
      </c>
      <c r="B216" s="6">
        <f>VLOOKUP(A216,'Exported Results'!A$162:D$281,4,FALSE)</f>
        <v>27.93328857421875</v>
      </c>
      <c r="C216" s="6">
        <f t="shared" si="7"/>
        <v>27.93328857421875</v>
      </c>
      <c r="D216" s="3" t="str">
        <f>VLOOKUP(A216,'Exported Results'!A$162:D$281,2,FALSE)</f>
        <v>8.7.a</v>
      </c>
      <c r="E216" s="13">
        <f>AVERAGE(C216:C218)</f>
        <v>27.907826105753582</v>
      </c>
      <c r="F216">
        <f>_xlfn.STDEV.P(C216:C218)</f>
        <v>3.323831561619011E-2</v>
      </c>
    </row>
    <row r="217" spans="1:6" ht="14.25" x14ac:dyDescent="0.2">
      <c r="A217" s="5" t="s">
        <v>269</v>
      </c>
      <c r="B217" s="6">
        <f>VLOOKUP(A217,'Exported Results'!A$162:D$281,4,FALSE)</f>
        <v>27.929313659667969</v>
      </c>
      <c r="C217" s="6">
        <f t="shared" si="7"/>
        <v>27.929313659667969</v>
      </c>
      <c r="D217" s="3" t="str">
        <f>VLOOKUP(A217,'Exported Results'!A$162:D$281,2,FALSE)</f>
        <v>8.7.b</v>
      </c>
    </row>
    <row r="218" spans="1:6" ht="14.25" x14ac:dyDescent="0.2">
      <c r="A218" s="5" t="s">
        <v>270</v>
      </c>
      <c r="B218" s="6">
        <f>VLOOKUP(A218,'Exported Results'!A$162:D$281,4,FALSE)</f>
        <v>27.860876083374023</v>
      </c>
      <c r="C218" s="6">
        <f t="shared" si="7"/>
        <v>27.860876083374023</v>
      </c>
      <c r="D218" s="3" t="str">
        <f>VLOOKUP(A218,'Exported Results'!A$162:D$281,2,FALSE)</f>
        <v>8.7.c</v>
      </c>
    </row>
    <row r="219" spans="1:6" ht="14.25" x14ac:dyDescent="0.2">
      <c r="A219" s="5" t="s">
        <v>271</v>
      </c>
      <c r="B219" s="6">
        <f>VLOOKUP(A219,'Exported Results'!A$162:D$281,4,FALSE)</f>
        <v>27.777570724487305</v>
      </c>
      <c r="C219" s="6">
        <f t="shared" si="7"/>
        <v>27.777570724487305</v>
      </c>
      <c r="D219" s="3" t="str">
        <f>VLOOKUP(A219,'Exported Results'!A$162:D$281,2,FALSE)</f>
        <v>8.8.a</v>
      </c>
      <c r="E219" s="13">
        <f>AVERAGE(C219:C221)</f>
        <v>27.695595423380535</v>
      </c>
      <c r="F219">
        <f>_xlfn.STDEV.P(C219:C221)</f>
        <v>0.11813985165000779</v>
      </c>
    </row>
    <row r="220" spans="1:6" ht="14.25" x14ac:dyDescent="0.2">
      <c r="A220" s="5" t="s">
        <v>272</v>
      </c>
      <c r="B220" s="6">
        <f>VLOOKUP(A220,'Exported Results'!A$162:D$281,4,FALSE)</f>
        <v>27.528530120849609</v>
      </c>
      <c r="C220" s="6">
        <f t="shared" si="7"/>
        <v>27.528530120849609</v>
      </c>
      <c r="D220" s="3" t="str">
        <f>VLOOKUP(A220,'Exported Results'!A$162:D$281,2,FALSE)</f>
        <v>8.8.b</v>
      </c>
    </row>
    <row r="221" spans="1:6" ht="14.25" x14ac:dyDescent="0.2">
      <c r="A221" s="5" t="s">
        <v>273</v>
      </c>
      <c r="B221" s="6">
        <f>VLOOKUP(A221,'Exported Results'!A$162:D$281,4,FALSE)</f>
        <v>27.780685424804688</v>
      </c>
      <c r="C221" s="6">
        <f t="shared" si="7"/>
        <v>27.780685424804688</v>
      </c>
      <c r="D221" s="3" t="str">
        <f>VLOOKUP(A221,'Exported Results'!A$162:D$281,2,FALSE)</f>
        <v>8.8.c</v>
      </c>
    </row>
    <row r="222" spans="1:6" ht="14.25" x14ac:dyDescent="0.2">
      <c r="A222" s="5" t="s">
        <v>274</v>
      </c>
      <c r="B222" s="6">
        <f>VLOOKUP(A222,'Exported Results'!A$162:D$281,4,FALSE)</f>
        <v>28.359348297119141</v>
      </c>
      <c r="C222" s="6">
        <f t="shared" si="7"/>
        <v>28.359348297119141</v>
      </c>
      <c r="D222" s="3" t="str">
        <f>VLOOKUP(A222,'Exported Results'!A$162:D$281,2,FALSE)</f>
        <v>8.9.a</v>
      </c>
      <c r="E222" s="13">
        <f>AVERAGE(C222:C224)</f>
        <v>28.242525100708008</v>
      </c>
      <c r="F222">
        <f>_xlfn.STDEV.P(C222:C224)</f>
        <v>0.10070585459276103</v>
      </c>
    </row>
    <row r="223" spans="1:6" ht="14.25" x14ac:dyDescent="0.2">
      <c r="A223" s="5" t="s">
        <v>275</v>
      </c>
      <c r="B223" s="6">
        <f>VLOOKUP(A223,'Exported Results'!A$162:D$281,4,FALSE)</f>
        <v>28.113567352294922</v>
      </c>
      <c r="C223" s="6">
        <f t="shared" si="7"/>
        <v>28.113567352294922</v>
      </c>
      <c r="D223" s="3" t="str">
        <f>VLOOKUP(A223,'Exported Results'!A$162:D$281,2,FALSE)</f>
        <v>8.9.b</v>
      </c>
    </row>
    <row r="224" spans="1:6" ht="14.25" x14ac:dyDescent="0.2">
      <c r="A224" s="5" t="s">
        <v>276</v>
      </c>
      <c r="B224" s="6">
        <f>VLOOKUP(A224,'Exported Results'!A$162:D$281,4,FALSE)</f>
        <v>28.254659652709961</v>
      </c>
      <c r="C224" s="6">
        <f t="shared" si="7"/>
        <v>28.254659652709961</v>
      </c>
      <c r="D224" s="3" t="str">
        <f>VLOOKUP(A224,'Exported Results'!A$162:D$281,2,FALSE)</f>
        <v>8.9.c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7"/>
        <v>40.1</v>
      </c>
      <c r="D225" s="3" t="str">
        <f>VLOOKUP(A225,'Exported Results'!A$162:D$281,2,FALSE)</f>
        <v/>
      </c>
      <c r="E225" s="13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7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7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7"/>
        <v>40.1</v>
      </c>
      <c r="D228" s="3" t="str">
        <f>VLOOKUP(A228,'Exported Results'!A$162:D$281,2,FALSE)</f>
        <v/>
      </c>
      <c r="E228" s="13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7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7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7"/>
        <v>40.1</v>
      </c>
      <c r="D231" s="3" t="str">
        <f>VLOOKUP(A231,'Exported Results'!A$162:D$281,2,FALSE)</f>
        <v/>
      </c>
      <c r="E231" s="13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7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7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7"/>
        <v>40.1</v>
      </c>
      <c r="D234" s="3" t="str">
        <f>VLOOKUP(A234,'Exported Results'!A$162:D$281,2,FALSE)</f>
        <v/>
      </c>
      <c r="E234" s="13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7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7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7"/>
        <v>40.1</v>
      </c>
      <c r="D237" s="3" t="str">
        <f>VLOOKUP(A237,'Exported Results'!A$162:D$281,2,FALSE)</f>
        <v/>
      </c>
      <c r="E237" s="13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7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7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7"/>
        <v>40.1</v>
      </c>
      <c r="D240" s="3" t="str">
        <f>VLOOKUP(A240,'Exported Results'!A$162:D$281,2,FALSE)</f>
        <v/>
      </c>
      <c r="E240" s="13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7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7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7"/>
        <v>40.1</v>
      </c>
      <c r="D243" s="3" t="str">
        <f>VLOOKUP(A243,'Exported Results'!A$282:D$641,2,FALSE)</f>
        <v>Blank 1.a</v>
      </c>
      <c r="E243" s="13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7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7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26.883783340454102</v>
      </c>
      <c r="C246" s="6">
        <f t="shared" si="7"/>
        <v>26.883783340454102</v>
      </c>
      <c r="D246" s="3" t="str">
        <f>VLOOKUP(A246,'Exported Results'!A$282:D$641,2,FALSE)</f>
        <v>STD 10a</v>
      </c>
      <c r="E246" s="13">
        <f>AVERAGE(C246:C248)</f>
        <v>26.867812474568684</v>
      </c>
      <c r="F246">
        <f>_xlfn.STDEV.P(C246:C248)</f>
        <v>3.7377323610324954E-2</v>
      </c>
    </row>
    <row r="247" spans="1:6" ht="14.25" x14ac:dyDescent="0.2">
      <c r="A247" s="5" t="s">
        <v>299</v>
      </c>
      <c r="B247" s="6">
        <f>VLOOKUP(A247,'Exported Results'!A$282:D645,4,FALSE)</f>
        <v>26.903465270996094</v>
      </c>
      <c r="C247" s="6">
        <f t="shared" si="7"/>
        <v>26.903465270996094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26.816188812255859</v>
      </c>
      <c r="C248" s="6">
        <f t="shared" si="7"/>
        <v>26.816188812255859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28.878068923950195</v>
      </c>
      <c r="C249" s="16"/>
      <c r="D249" s="3" t="str">
        <f>VLOOKUP(A249,'Exported Results'!A$282:D$641,2,FALSE)</f>
        <v>STD 20a</v>
      </c>
      <c r="E249" s="13">
        <f>AVERAGE(C249:C251)</f>
        <v>27.944015502929688</v>
      </c>
      <c r="F249">
        <f>_xlfn.STDEV.P(C249:C251)</f>
        <v>5.6324005126953125E-3</v>
      </c>
    </row>
    <row r="250" spans="1:6" ht="14.25" x14ac:dyDescent="0.2">
      <c r="A250" s="5" t="s">
        <v>302</v>
      </c>
      <c r="B250" s="6">
        <f>VLOOKUP(A250,'Exported Results'!A$282:D648,4,FALSE)</f>
        <v>27.949647903442383</v>
      </c>
      <c r="C250" s="6">
        <f t="shared" si="7"/>
        <v>27.949647903442383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27.938383102416992</v>
      </c>
      <c r="C251" s="6">
        <f t="shared" si="7"/>
        <v>27.938383102416992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28.773662567138672</v>
      </c>
      <c r="C252" s="6">
        <f t="shared" si="7"/>
        <v>28.773662567138672</v>
      </c>
      <c r="D252" s="3" t="str">
        <f>VLOOKUP(A252,'Exported Results'!A$282:D$641,2,FALSE)</f>
        <v>STD 40a</v>
      </c>
      <c r="E252" s="13">
        <f>AVERAGE(C252:C254)</f>
        <v>28.782270431518555</v>
      </c>
      <c r="F252">
        <f>_xlfn.STDEV.P(C252:C254)</f>
        <v>2.4351901004035462E-2</v>
      </c>
    </row>
    <row r="253" spans="1:6" ht="14.25" x14ac:dyDescent="0.2">
      <c r="A253" s="5" t="s">
        <v>305</v>
      </c>
      <c r="B253" s="6">
        <f>VLOOKUP(A253,'Exported Results'!A$282:D651,4,FALSE)</f>
        <v>28.815452575683594</v>
      </c>
      <c r="C253" s="6">
        <f t="shared" si="7"/>
        <v>28.815452575683594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28.757696151733398</v>
      </c>
      <c r="C254" s="6">
        <f t="shared" si="7"/>
        <v>28.757696151733398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29.707918167114258</v>
      </c>
      <c r="C255" s="6">
        <f t="shared" ref="C255" si="8">IF(B255="Undetermined",40.1,B255)</f>
        <v>29.707918167114258</v>
      </c>
      <c r="D255" s="3" t="str">
        <f>VLOOKUP(A255,'Exported Results'!A$282:D$641,2,FALSE)</f>
        <v>STD 80a</v>
      </c>
      <c r="E255" s="13">
        <f>AVERAGE(C255:C257)</f>
        <v>29.613500595092773</v>
      </c>
      <c r="F255">
        <f>_xlfn.STDEV.P(C255:C257)</f>
        <v>0.25298850671984929</v>
      </c>
    </row>
    <row r="256" spans="1:6" ht="14.25" x14ac:dyDescent="0.2">
      <c r="A256" s="5" t="s">
        <v>308</v>
      </c>
      <c r="B256" s="6">
        <f>VLOOKUP(A256,'Exported Results'!A$282:D654,4,FALSE)</f>
        <v>29.267429351806641</v>
      </c>
      <c r="C256" s="6">
        <f t="shared" ref="C256:C319" si="9">IF(B256="Undetermined",40.1,B256)</f>
        <v>29.267429351806641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29.865154266357422</v>
      </c>
      <c r="C257" s="6">
        <f t="shared" si="9"/>
        <v>29.865154266357422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30.961507797241211</v>
      </c>
      <c r="C258" s="6">
        <f t="shared" si="9"/>
        <v>30.961507797241211</v>
      </c>
      <c r="D258" s="3" t="str">
        <f>VLOOKUP(A258,'Exported Results'!A$282:D$641,2,FALSE)</f>
        <v>STD 160a</v>
      </c>
      <c r="E258" s="13">
        <f>AVERAGE(C258:C260)</f>
        <v>30.941668828328449</v>
      </c>
      <c r="F258">
        <f>_xlfn.STDEV.P(C258:C260)</f>
        <v>1.5639136230170787E-2</v>
      </c>
    </row>
    <row r="259" spans="1:6" ht="14.25" x14ac:dyDescent="0.2">
      <c r="A259" s="5" t="s">
        <v>311</v>
      </c>
      <c r="B259" s="6">
        <f>VLOOKUP(A259,'Exported Results'!A$282:D657,4,FALSE)</f>
        <v>30.940216064453125</v>
      </c>
      <c r="C259" s="6">
        <f t="shared" si="9"/>
        <v>30.940216064453125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30.923282623291016</v>
      </c>
      <c r="C260" s="6">
        <f t="shared" si="9"/>
        <v>30.923282623291016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32.266349792480469</v>
      </c>
      <c r="C261" s="6">
        <f t="shared" si="9"/>
        <v>32.266349792480469</v>
      </c>
      <c r="D261" s="3" t="str">
        <f>VLOOKUP(A261,'Exported Results'!A$282:D$641,2,FALSE)</f>
        <v>STD 320a</v>
      </c>
      <c r="E261" s="13">
        <f>AVERAGE(C261:C263)</f>
        <v>32.113107045491539</v>
      </c>
      <c r="F261">
        <f>_xlfn.STDEV.P(C261:C263)</f>
        <v>0.12372583898406636</v>
      </c>
    </row>
    <row r="262" spans="1:6" ht="14.25" x14ac:dyDescent="0.2">
      <c r="A262" s="5" t="s">
        <v>314</v>
      </c>
      <c r="B262" s="6">
        <f>VLOOKUP(A262,'Exported Results'!A$282:D660,4,FALSE)</f>
        <v>31.963344573974609</v>
      </c>
      <c r="C262" s="6">
        <f t="shared" si="9"/>
        <v>31.963344573974609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32.109626770019531</v>
      </c>
      <c r="C263" s="6">
        <f t="shared" si="9"/>
        <v>32.109626770019531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28.828695297241211</v>
      </c>
      <c r="C264" s="6">
        <f t="shared" si="9"/>
        <v>28.828695297241211</v>
      </c>
      <c r="D264" s="3" t="str">
        <f>VLOOKUP(A264,'Exported Results'!A$282:D$641,2,FALSE)</f>
        <v>0.1.a</v>
      </c>
      <c r="E264" s="13">
        <f>AVERAGE(C264:C266)</f>
        <v>28.74793815612793</v>
      </c>
      <c r="F264">
        <f>_xlfn.STDEV.P(C264:C266)</f>
        <v>7.7257463369594201E-2</v>
      </c>
    </row>
    <row r="265" spans="1:6" ht="14.25" x14ac:dyDescent="0.2">
      <c r="A265" s="5" t="s">
        <v>317</v>
      </c>
      <c r="B265" s="6">
        <f>VLOOKUP(A265,'Exported Results'!A$282:D663,4,FALSE)</f>
        <v>28.771291732788086</v>
      </c>
      <c r="C265" s="6">
        <f t="shared" si="9"/>
        <v>28.771291732788086</v>
      </c>
      <c r="D265" s="3" t="str">
        <f>VLOOKUP(A265,'Exported Results'!A$282:D$641,2,FALSE)</f>
        <v>0.1.b</v>
      </c>
    </row>
    <row r="266" spans="1:6" ht="14.25" x14ac:dyDescent="0.2">
      <c r="A266" s="5" t="s">
        <v>318</v>
      </c>
      <c r="B266" s="6">
        <f>VLOOKUP(A266,'Exported Results'!A$282:D664,4,FALSE)</f>
        <v>28.643827438354492</v>
      </c>
      <c r="C266" s="6">
        <f t="shared" si="9"/>
        <v>28.643827438354492</v>
      </c>
      <c r="D266" s="3" t="str">
        <f>VLOOKUP(A266,'Exported Results'!A$282:D$641,2,FALSE)</f>
        <v>0.1.c</v>
      </c>
    </row>
    <row r="267" spans="1:6" ht="14.25" x14ac:dyDescent="0.2">
      <c r="A267" s="5" t="s">
        <v>319</v>
      </c>
      <c r="B267" s="6">
        <f>VLOOKUP(A267,'Exported Results'!A$282:D665,4,FALSE)</f>
        <v>29.06245231628418</v>
      </c>
      <c r="C267" s="6">
        <f t="shared" si="9"/>
        <v>29.06245231628418</v>
      </c>
      <c r="D267" s="3" t="str">
        <f>VLOOKUP(A267,'Exported Results'!A$282:D$641,2,FALSE)</f>
        <v>0.2.a</v>
      </c>
      <c r="E267" s="13">
        <f>AVERAGE(C267:C269)</f>
        <v>28.98705228169759</v>
      </c>
      <c r="F267">
        <f>_xlfn.STDEV.P(C267:C269)</f>
        <v>8.1268037424986644E-2</v>
      </c>
    </row>
    <row r="268" spans="1:6" ht="14.25" x14ac:dyDescent="0.2">
      <c r="A268" s="5" t="s">
        <v>320</v>
      </c>
      <c r="B268" s="6">
        <f>VLOOKUP(A268,'Exported Results'!A$282:D666,4,FALSE)</f>
        <v>29.024471282958984</v>
      </c>
      <c r="C268" s="6">
        <f t="shared" si="9"/>
        <v>29.024471282958984</v>
      </c>
      <c r="D268" s="3" t="str">
        <f>VLOOKUP(A268,'Exported Results'!A$282:D$641,2,FALSE)</f>
        <v>0.2.b</v>
      </c>
    </row>
    <row r="269" spans="1:6" ht="14.25" x14ac:dyDescent="0.2">
      <c r="A269" s="5" t="s">
        <v>321</v>
      </c>
      <c r="B269" s="6">
        <f>VLOOKUP(A269,'Exported Results'!A$282:D667,4,FALSE)</f>
        <v>28.874233245849609</v>
      </c>
      <c r="C269" s="6">
        <f t="shared" si="9"/>
        <v>28.874233245849609</v>
      </c>
      <c r="D269" s="3" t="str">
        <f>VLOOKUP(A269,'Exported Results'!A$282:D$641,2,FALSE)</f>
        <v>0.2.c</v>
      </c>
    </row>
    <row r="270" spans="1:6" ht="14.25" x14ac:dyDescent="0.2">
      <c r="A270" s="5" t="s">
        <v>322</v>
      </c>
      <c r="B270" s="6">
        <f>VLOOKUP(A270,'Exported Results'!A$282:D668,4,FALSE)</f>
        <v>28.659177780151367</v>
      </c>
      <c r="C270" s="6">
        <f t="shared" si="9"/>
        <v>28.659177780151367</v>
      </c>
      <c r="D270" s="3" t="str">
        <f>VLOOKUP(A270,'Exported Results'!A$282:D$641,2,FALSE)</f>
        <v>0.3.a</v>
      </c>
      <c r="E270" s="13">
        <f>AVERAGE(C270:C272)</f>
        <v>28.660826365152996</v>
      </c>
      <c r="F270">
        <f>_xlfn.STDEV.P(C270:C272)</f>
        <v>4.9178378096282852E-2</v>
      </c>
    </row>
    <row r="271" spans="1:6" ht="14.25" x14ac:dyDescent="0.2">
      <c r="A271" s="5" t="s">
        <v>323</v>
      </c>
      <c r="B271" s="6">
        <f>VLOOKUP(A271,'Exported Results'!A$282:D669,4,FALSE)</f>
        <v>28.721864700317383</v>
      </c>
      <c r="C271" s="6">
        <f t="shared" si="9"/>
        <v>28.721864700317383</v>
      </c>
      <c r="D271" s="3" t="str">
        <f>VLOOKUP(A271,'Exported Results'!A$282:D$641,2,FALSE)</f>
        <v>0.3.b</v>
      </c>
    </row>
    <row r="272" spans="1:6" ht="14.25" x14ac:dyDescent="0.2">
      <c r="A272" s="5" t="s">
        <v>324</v>
      </c>
      <c r="B272" s="6">
        <f>VLOOKUP(A272,'Exported Results'!A$282:D670,4,FALSE)</f>
        <v>28.601436614990234</v>
      </c>
      <c r="C272" s="6">
        <f t="shared" si="9"/>
        <v>28.601436614990234</v>
      </c>
      <c r="D272" s="3" t="str">
        <f>VLOOKUP(A272,'Exported Results'!A$282:D$641,2,FALSE)</f>
        <v>0.3.c</v>
      </c>
    </row>
    <row r="273" spans="1:6" ht="14.25" x14ac:dyDescent="0.2">
      <c r="A273" s="5" t="s">
        <v>325</v>
      </c>
      <c r="B273" s="6">
        <f>VLOOKUP(A273,'Exported Results'!A$282:D671,4,FALSE)</f>
        <v>28.760307312011719</v>
      </c>
      <c r="C273" s="6">
        <f t="shared" si="9"/>
        <v>28.760307312011719</v>
      </c>
      <c r="D273" s="3" t="str">
        <f>VLOOKUP(A273,'Exported Results'!A$282:D$641,2,FALSE)</f>
        <v>2.1.a</v>
      </c>
      <c r="E273" s="13">
        <f>AVERAGE(C273:C275)</f>
        <v>28.797217051188152</v>
      </c>
      <c r="F273">
        <f>_xlfn.STDEV.P(C273:C275)</f>
        <v>7.8046513354998792E-2</v>
      </c>
    </row>
    <row r="274" spans="1:6" ht="14.25" x14ac:dyDescent="0.2">
      <c r="A274" s="5" t="s">
        <v>326</v>
      </c>
      <c r="B274" s="6">
        <f>VLOOKUP(A274,'Exported Results'!A$282:D672,4,FALSE)</f>
        <v>28.725587844848633</v>
      </c>
      <c r="C274" s="6">
        <f t="shared" si="9"/>
        <v>28.725587844848633</v>
      </c>
      <c r="D274" s="3" t="str">
        <f>VLOOKUP(A274,'Exported Results'!A$282:D$641,2,FALSE)</f>
        <v>2.1.b</v>
      </c>
    </row>
    <row r="275" spans="1:6" ht="14.25" x14ac:dyDescent="0.2">
      <c r="A275" s="7" t="s">
        <v>327</v>
      </c>
      <c r="B275" s="6">
        <f>VLOOKUP(A275,'Exported Results'!A$282:D673,4,FALSE)</f>
        <v>28.905755996704102</v>
      </c>
      <c r="C275" s="6">
        <f t="shared" si="9"/>
        <v>28.905755996704102</v>
      </c>
      <c r="D275" s="3" t="str">
        <f>VLOOKUP(A275,'Exported Results'!A$282:D$641,2,FALSE)</f>
        <v>2.1.c</v>
      </c>
    </row>
    <row r="276" spans="1:6" ht="14.25" x14ac:dyDescent="0.2">
      <c r="A276" s="7" t="s">
        <v>328</v>
      </c>
      <c r="B276" s="6">
        <f>VLOOKUP(A276,'Exported Results'!A$282:D674,4,FALSE)</f>
        <v>29.07844352722168</v>
      </c>
      <c r="C276" s="6">
        <f t="shared" si="9"/>
        <v>29.07844352722168</v>
      </c>
      <c r="D276" s="3" t="str">
        <f>VLOOKUP(A276,'Exported Results'!A$282:D$641,2,FALSE)</f>
        <v>2.2.a</v>
      </c>
      <c r="E276" s="13">
        <f>AVERAGE(C276:C278)</f>
        <v>28.909215927124023</v>
      </c>
      <c r="F276">
        <f>_xlfn.STDEV.P(C276:C278)</f>
        <v>0.16970372610563192</v>
      </c>
    </row>
    <row r="277" spans="1:6" ht="14.25" x14ac:dyDescent="0.2">
      <c r="A277" s="7" t="s">
        <v>329</v>
      </c>
      <c r="B277" s="6">
        <f>VLOOKUP(A277,'Exported Results'!A$282:D675,4,FALSE)</f>
        <v>28.677223205566406</v>
      </c>
      <c r="C277" s="6">
        <f t="shared" si="9"/>
        <v>28.677223205566406</v>
      </c>
      <c r="D277" s="3" t="str">
        <f>VLOOKUP(A277,'Exported Results'!A$282:D$641,2,FALSE)</f>
        <v>2.2.b</v>
      </c>
    </row>
    <row r="278" spans="1:6" ht="14.25" x14ac:dyDescent="0.2">
      <c r="A278" s="7" t="s">
        <v>330</v>
      </c>
      <c r="B278" s="6">
        <f>VLOOKUP(A278,'Exported Results'!A$282:D676,4,FALSE)</f>
        <v>28.971981048583984</v>
      </c>
      <c r="C278" s="6">
        <f t="shared" si="9"/>
        <v>28.971981048583984</v>
      </c>
      <c r="D278" s="3" t="str">
        <f>VLOOKUP(A278,'Exported Results'!A$282:D$641,2,FALSE)</f>
        <v>2.2.c</v>
      </c>
    </row>
    <row r="279" spans="1:6" ht="14.25" x14ac:dyDescent="0.2">
      <c r="A279" s="7" t="s">
        <v>331</v>
      </c>
      <c r="B279" s="6">
        <f>VLOOKUP(A279,'Exported Results'!A$282:D677,4,FALSE)</f>
        <v>28.947969436645508</v>
      </c>
      <c r="C279" s="6">
        <f t="shared" si="9"/>
        <v>28.947969436645508</v>
      </c>
      <c r="D279" s="3" t="str">
        <f>VLOOKUP(A279,'Exported Results'!A$282:D$641,2,FALSE)</f>
        <v>2.3.a</v>
      </c>
      <c r="E279" s="13">
        <f>AVERAGE(C279:C281)</f>
        <v>28.749144872029621</v>
      </c>
      <c r="F279">
        <f>_xlfn.STDEV.P(C279:C281)</f>
        <v>0.17878891974103817</v>
      </c>
    </row>
    <row r="280" spans="1:6" ht="14.25" x14ac:dyDescent="0.2">
      <c r="A280" s="7" t="s">
        <v>332</v>
      </c>
      <c r="B280" s="6">
        <f>VLOOKUP(A280,'Exported Results'!A$282:D678,4,FALSE)</f>
        <v>28.514455795288086</v>
      </c>
      <c r="C280" s="6">
        <f t="shared" si="9"/>
        <v>28.514455795288086</v>
      </c>
      <c r="D280" s="3" t="str">
        <f>VLOOKUP(A280,'Exported Results'!A$282:D$641,2,FALSE)</f>
        <v>2.3.b</v>
      </c>
    </row>
    <row r="281" spans="1:6" ht="14.25" x14ac:dyDescent="0.2">
      <c r="A281" s="7" t="s">
        <v>333</v>
      </c>
      <c r="B281" s="6">
        <f>VLOOKUP(A281,'Exported Results'!A$282:D679,4,FALSE)</f>
        <v>28.785009384155273</v>
      </c>
      <c r="C281" s="6">
        <f t="shared" si="9"/>
        <v>28.785009384155273</v>
      </c>
      <c r="D281" s="3" t="str">
        <f>VLOOKUP(A281,'Exported Results'!A$282:D$641,2,FALSE)</f>
        <v>2.3.c</v>
      </c>
    </row>
    <row r="282" spans="1:6" ht="14.25" x14ac:dyDescent="0.2">
      <c r="A282" s="7" t="s">
        <v>334</v>
      </c>
      <c r="B282" s="6">
        <f>VLOOKUP(A282,'Exported Results'!A$282:D680,4,FALSE)</f>
        <v>28.654354095458984</v>
      </c>
      <c r="C282" s="6">
        <f t="shared" si="9"/>
        <v>28.654354095458984</v>
      </c>
      <c r="D282" s="3" t="str">
        <f>VLOOKUP(A282,'Exported Results'!A$282:D$641,2,FALSE)</f>
        <v>8.1.a</v>
      </c>
      <c r="E282" s="13">
        <f>AVERAGE(C282:C284)</f>
        <v>28.836126963297527</v>
      </c>
      <c r="F282">
        <f>_xlfn.STDEV.P(C282:C284)</f>
        <v>0.12922872880867334</v>
      </c>
    </row>
    <row r="283" spans="1:6" ht="14.25" x14ac:dyDescent="0.2">
      <c r="A283" s="7" t="s">
        <v>335</v>
      </c>
      <c r="B283" s="6">
        <f>VLOOKUP(A283,'Exported Results'!A$282:D681,4,FALSE)</f>
        <v>28.910610198974609</v>
      </c>
      <c r="C283" s="6">
        <f t="shared" si="9"/>
        <v>28.910610198974609</v>
      </c>
      <c r="D283" s="3" t="str">
        <f>VLOOKUP(A283,'Exported Results'!A$282:D$641,2,FALSE)</f>
        <v>8.1.b</v>
      </c>
    </row>
    <row r="284" spans="1:6" ht="14.25" x14ac:dyDescent="0.2">
      <c r="A284" s="7" t="s">
        <v>336</v>
      </c>
      <c r="B284" s="6">
        <f>VLOOKUP(A284,'Exported Results'!A$282:D682,4,FALSE)</f>
        <v>28.943416595458984</v>
      </c>
      <c r="C284" s="6">
        <f t="shared" si="9"/>
        <v>28.943416595458984</v>
      </c>
      <c r="D284" s="3" t="str">
        <f>VLOOKUP(A284,'Exported Results'!A$282:D$641,2,FALSE)</f>
        <v>8.1.c</v>
      </c>
    </row>
    <row r="285" spans="1:6" ht="14.25" x14ac:dyDescent="0.2">
      <c r="A285" s="7" t="s">
        <v>337</v>
      </c>
      <c r="B285" s="6">
        <f>VLOOKUP(A285,'Exported Results'!A$282:D683,4,FALSE)</f>
        <v>28.886953353881836</v>
      </c>
      <c r="C285" s="6">
        <f t="shared" si="9"/>
        <v>28.886953353881836</v>
      </c>
      <c r="D285" s="3" t="str">
        <f>VLOOKUP(A285,'Exported Results'!A$282:D$641,2,FALSE)</f>
        <v>8.2.a</v>
      </c>
      <c r="E285" s="13">
        <f>AVERAGE(C285:C287)</f>
        <v>28.930132548014324</v>
      </c>
      <c r="F285">
        <f>_xlfn.STDEV.P(C285:C287)</f>
        <v>3.2573912461346041E-2</v>
      </c>
    </row>
    <row r="286" spans="1:6" ht="14.25" x14ac:dyDescent="0.2">
      <c r="A286" s="7" t="s">
        <v>338</v>
      </c>
      <c r="B286" s="6">
        <f>VLOOKUP(A286,'Exported Results'!A$282:D684,4,FALSE)</f>
        <v>28.937820434570313</v>
      </c>
      <c r="C286" s="6">
        <f t="shared" si="9"/>
        <v>28.937820434570313</v>
      </c>
      <c r="D286" s="3" t="str">
        <f>VLOOKUP(A286,'Exported Results'!A$282:D$641,2,FALSE)</f>
        <v>8.2.b</v>
      </c>
    </row>
    <row r="287" spans="1:6" ht="14.25" x14ac:dyDescent="0.2">
      <c r="A287" s="7" t="s">
        <v>339</v>
      </c>
      <c r="B287" s="6">
        <f>VLOOKUP(A287,'Exported Results'!A$282:D685,4,FALSE)</f>
        <v>28.96562385559082</v>
      </c>
      <c r="C287" s="6">
        <f t="shared" si="9"/>
        <v>28.96562385559082</v>
      </c>
      <c r="D287" s="3" t="str">
        <f>VLOOKUP(A287,'Exported Results'!A$282:D$641,2,FALSE)</f>
        <v>8.2.c</v>
      </c>
    </row>
    <row r="288" spans="1:6" ht="14.25" x14ac:dyDescent="0.2">
      <c r="A288" s="7" t="s">
        <v>340</v>
      </c>
      <c r="B288" s="6">
        <f>VLOOKUP(A288,'Exported Results'!A$282:D686,4,FALSE)</f>
        <v>28.869243621826172</v>
      </c>
      <c r="C288" s="6">
        <f t="shared" si="9"/>
        <v>28.869243621826172</v>
      </c>
      <c r="D288" s="3" t="str">
        <f>VLOOKUP(A288,'Exported Results'!A$282:D$641,2,FALSE)</f>
        <v>8.3.a</v>
      </c>
      <c r="E288" s="13">
        <f>AVERAGE(C288:C290)</f>
        <v>28.725109100341797</v>
      </c>
      <c r="F288">
        <f>_xlfn.STDEV.P(C288:C290)</f>
        <v>0.11606009571088667</v>
      </c>
    </row>
    <row r="289" spans="1:6" ht="14.25" x14ac:dyDescent="0.2">
      <c r="A289" s="7" t="s">
        <v>341</v>
      </c>
      <c r="B289" s="6">
        <f>VLOOKUP(A289,'Exported Results'!A$282:D687,4,FALSE)</f>
        <v>28.721040725708008</v>
      </c>
      <c r="C289" s="6">
        <f t="shared" si="9"/>
        <v>28.721040725708008</v>
      </c>
      <c r="D289" s="3" t="str">
        <f>VLOOKUP(A289,'Exported Results'!A$282:D$641,2,FALSE)</f>
        <v>8.3.b</v>
      </c>
    </row>
    <row r="290" spans="1:6" ht="14.25" x14ac:dyDescent="0.2">
      <c r="A290" s="7" t="s">
        <v>342</v>
      </c>
      <c r="B290" s="6">
        <f>VLOOKUP(A290,'Exported Results'!A$282:D688,4,FALSE)</f>
        <v>28.585042953491211</v>
      </c>
      <c r="C290" s="6">
        <f t="shared" si="9"/>
        <v>28.585042953491211</v>
      </c>
      <c r="D290" s="3" t="str">
        <f>VLOOKUP(A290,'Exported Results'!A$282:D$641,2,FALSE)</f>
        <v>8.3.c</v>
      </c>
    </row>
    <row r="291" spans="1:6" ht="14.25" x14ac:dyDescent="0.2">
      <c r="A291" s="7" t="s">
        <v>343</v>
      </c>
      <c r="B291" s="6">
        <f>VLOOKUP(A291,'Exported Results'!A$282:D689,4,FALSE)</f>
        <v>28.483612060546875</v>
      </c>
      <c r="C291" s="6">
        <f t="shared" si="9"/>
        <v>28.483612060546875</v>
      </c>
      <c r="D291" s="3" t="str">
        <f>VLOOKUP(A291,'Exported Results'!A$282:D$641,2,FALSE)</f>
        <v>0.4.a</v>
      </c>
      <c r="E291" s="13">
        <f>AVERAGE(C291:C293)</f>
        <v>28.430091222127277</v>
      </c>
      <c r="F291">
        <f>_xlfn.STDEV.P(C291:C293)</f>
        <v>8.0664109948177729E-2</v>
      </c>
    </row>
    <row r="292" spans="1:6" ht="14.25" x14ac:dyDescent="0.2">
      <c r="A292" s="7" t="s">
        <v>344</v>
      </c>
      <c r="B292" s="6">
        <f>VLOOKUP(A292,'Exported Results'!A$282:D690,4,FALSE)</f>
        <v>28.490575790405273</v>
      </c>
      <c r="C292" s="6">
        <f t="shared" si="9"/>
        <v>28.490575790405273</v>
      </c>
      <c r="D292" s="3" t="str">
        <f>VLOOKUP(A292,'Exported Results'!A$282:D$641,2,FALSE)</f>
        <v>0.4.b</v>
      </c>
    </row>
    <row r="293" spans="1:6" ht="14.25" x14ac:dyDescent="0.2">
      <c r="A293" s="7" t="s">
        <v>345</v>
      </c>
      <c r="B293" s="6">
        <f>VLOOKUP(A293,'Exported Results'!A$282:D691,4,FALSE)</f>
        <v>28.316085815429688</v>
      </c>
      <c r="C293" s="6">
        <f t="shared" si="9"/>
        <v>28.316085815429688</v>
      </c>
      <c r="D293" s="3" t="str">
        <f>VLOOKUP(A293,'Exported Results'!A$282:D$641,2,FALSE)</f>
        <v>0.4.c</v>
      </c>
    </row>
    <row r="294" spans="1:6" ht="14.25" x14ac:dyDescent="0.2">
      <c r="A294" s="7" t="s">
        <v>346</v>
      </c>
      <c r="B294" s="6">
        <f>VLOOKUP(A294,'Exported Results'!A$282:D692,4,FALSE)</f>
        <v>28.82012939453125</v>
      </c>
      <c r="C294" s="6">
        <f t="shared" si="9"/>
        <v>28.82012939453125</v>
      </c>
      <c r="D294" s="3" t="str">
        <f>VLOOKUP(A294,'Exported Results'!A$282:D$641,2,FALSE)</f>
        <v>0.5.a</v>
      </c>
      <c r="E294" s="13">
        <f>AVERAGE(C294:C296)</f>
        <v>28.642038981119793</v>
      </c>
      <c r="F294">
        <f>_xlfn.STDEV.P(C294:C296)</f>
        <v>0.12689035999118892</v>
      </c>
    </row>
    <row r="295" spans="1:6" ht="14.25" x14ac:dyDescent="0.2">
      <c r="A295" s="7" t="s">
        <v>347</v>
      </c>
      <c r="B295" s="6">
        <f>VLOOKUP(A295,'Exported Results'!A$282:D693,4,FALSE)</f>
        <v>28.533899307250977</v>
      </c>
      <c r="C295" s="6">
        <f t="shared" si="9"/>
        <v>28.533899307250977</v>
      </c>
      <c r="D295" s="3" t="str">
        <f>VLOOKUP(A295,'Exported Results'!A$282:D$641,2,FALSE)</f>
        <v>0.5.b</v>
      </c>
    </row>
    <row r="296" spans="1:6" ht="14.25" x14ac:dyDescent="0.2">
      <c r="A296" s="7" t="s">
        <v>348</v>
      </c>
      <c r="B296" s="6">
        <f>VLOOKUP(A296,'Exported Results'!A$282:D694,4,FALSE)</f>
        <v>28.572088241577148</v>
      </c>
      <c r="C296" s="6">
        <f t="shared" si="9"/>
        <v>28.572088241577148</v>
      </c>
      <c r="D296" s="3" t="str">
        <f>VLOOKUP(A296,'Exported Results'!A$282:D$641,2,FALSE)</f>
        <v>0.5.c</v>
      </c>
    </row>
    <row r="297" spans="1:6" ht="14.25" x14ac:dyDescent="0.2">
      <c r="A297" s="7" t="s">
        <v>349</v>
      </c>
      <c r="B297" s="6">
        <f>VLOOKUP(A297,'Exported Results'!A$282:D695,4,FALSE)</f>
        <v>28.883010864257813</v>
      </c>
      <c r="C297" s="6">
        <f t="shared" si="9"/>
        <v>28.883010864257813</v>
      </c>
      <c r="D297" s="3" t="str">
        <f>VLOOKUP(A297,'Exported Results'!A$282:D$641,2,FALSE)</f>
        <v>0.6.a</v>
      </c>
      <c r="E297" s="13">
        <f>AVERAGE(C297:C299)</f>
        <v>28.839453379313152</v>
      </c>
      <c r="F297">
        <f>_xlfn.STDEV.P(C297:C299)</f>
        <v>4.2471484750118471E-2</v>
      </c>
    </row>
    <row r="298" spans="1:6" ht="14.25" x14ac:dyDescent="0.2">
      <c r="A298" s="7" t="s">
        <v>350</v>
      </c>
      <c r="B298" s="6">
        <f>VLOOKUP(A298,'Exported Results'!A$282:D696,4,FALSE)</f>
        <v>28.781858444213867</v>
      </c>
      <c r="C298" s="6">
        <f t="shared" si="9"/>
        <v>28.781858444213867</v>
      </c>
      <c r="D298" s="3" t="str">
        <f>VLOOKUP(A298,'Exported Results'!A$282:D$641,2,FALSE)</f>
        <v>0.6.b</v>
      </c>
    </row>
    <row r="299" spans="1:6" ht="14.25" x14ac:dyDescent="0.2">
      <c r="A299" s="7" t="s">
        <v>351</v>
      </c>
      <c r="B299" s="6">
        <f>VLOOKUP(A299,'Exported Results'!A$282:D697,4,FALSE)</f>
        <v>28.853490829467773</v>
      </c>
      <c r="C299" s="6">
        <f t="shared" si="9"/>
        <v>28.853490829467773</v>
      </c>
      <c r="D299" s="3" t="str">
        <f>VLOOKUP(A299,'Exported Results'!A$282:D$641,2,FALSE)</f>
        <v>0.6.c</v>
      </c>
    </row>
    <row r="300" spans="1:6" ht="14.25" x14ac:dyDescent="0.2">
      <c r="A300" s="7" t="s">
        <v>352</v>
      </c>
      <c r="B300" s="6">
        <f>VLOOKUP(A300,'Exported Results'!A$282:D698,4,FALSE)</f>
        <v>30.997495651245117</v>
      </c>
      <c r="C300" s="6">
        <f t="shared" si="9"/>
        <v>30.997495651245117</v>
      </c>
      <c r="D300" s="3" t="str">
        <f>VLOOKUP(A300,'Exported Results'!A$282:D$641,2,FALSE)</f>
        <v>0.7.a</v>
      </c>
      <c r="E300" s="13">
        <f>AVERAGE(C300:C302)</f>
        <v>30.775830586751301</v>
      </c>
      <c r="F300">
        <f>_xlfn.STDEV.P(C300:C302)</f>
        <v>0.2209682242603439</v>
      </c>
    </row>
    <row r="301" spans="1:6" ht="14.25" x14ac:dyDescent="0.2">
      <c r="A301" s="7" t="s">
        <v>353</v>
      </c>
      <c r="B301" s="6">
        <f>VLOOKUP(A301,'Exported Results'!A$282:D699,4,FALSE)</f>
        <v>30.855756759643555</v>
      </c>
      <c r="C301" s="6">
        <f t="shared" si="9"/>
        <v>30.855756759643555</v>
      </c>
      <c r="D301" s="3" t="str">
        <f>VLOOKUP(A301,'Exported Results'!A$282:D$641,2,FALSE)</f>
        <v>0.7.b</v>
      </c>
    </row>
    <row r="302" spans="1:6" ht="14.25" x14ac:dyDescent="0.2">
      <c r="A302" s="7" t="s">
        <v>354</v>
      </c>
      <c r="B302" s="6">
        <f>VLOOKUP(A302,'Exported Results'!A$282:D700,4,FALSE)</f>
        <v>30.474239349365234</v>
      </c>
      <c r="C302" s="6">
        <f t="shared" si="9"/>
        <v>30.474239349365234</v>
      </c>
      <c r="D302" s="3" t="str">
        <f>VLOOKUP(A302,'Exported Results'!A$282:D$641,2,FALSE)</f>
        <v>0.7.c</v>
      </c>
    </row>
    <row r="303" spans="1:6" ht="14.25" x14ac:dyDescent="0.2">
      <c r="A303" s="7" t="s">
        <v>355</v>
      </c>
      <c r="B303" s="6">
        <f>VLOOKUP(A303,'Exported Results'!A$282:D701,4,FALSE)</f>
        <v>28.735275268554688</v>
      </c>
      <c r="C303" s="6">
        <f t="shared" si="9"/>
        <v>28.735275268554688</v>
      </c>
      <c r="D303" s="3" t="str">
        <f>VLOOKUP(A303,'Exported Results'!A$282:D$641,2,FALSE)</f>
        <v>0.8.a</v>
      </c>
      <c r="E303" s="13">
        <f>AVERAGE(C303:C305)</f>
        <v>28.341237386067707</v>
      </c>
      <c r="F303">
        <f>_xlfn.STDEV.P(C303:C305)</f>
        <v>0.27961079070897338</v>
      </c>
    </row>
    <row r="304" spans="1:6" ht="14.25" x14ac:dyDescent="0.2">
      <c r="A304" s="7" t="s">
        <v>356</v>
      </c>
      <c r="B304" s="6">
        <f>VLOOKUP(A304,'Exported Results'!A$282:D702,4,FALSE)</f>
        <v>28.172922134399414</v>
      </c>
      <c r="C304" s="6">
        <f t="shared" si="9"/>
        <v>28.172922134399414</v>
      </c>
      <c r="D304" s="3" t="str">
        <f>VLOOKUP(A304,'Exported Results'!A$282:D$641,2,FALSE)</f>
        <v>0.8.b</v>
      </c>
    </row>
    <row r="305" spans="1:6" ht="14.25" x14ac:dyDescent="0.2">
      <c r="A305" s="7" t="s">
        <v>357</v>
      </c>
      <c r="B305" s="6">
        <f>VLOOKUP(A305,'Exported Results'!A$282:D703,4,FALSE)</f>
        <v>28.115514755249023</v>
      </c>
      <c r="C305" s="6">
        <f t="shared" si="9"/>
        <v>28.115514755249023</v>
      </c>
      <c r="D305" s="3" t="str">
        <f>VLOOKUP(A305,'Exported Results'!A$282:D$641,2,FALSE)</f>
        <v>0.8.c</v>
      </c>
    </row>
    <row r="306" spans="1:6" ht="14.25" x14ac:dyDescent="0.2">
      <c r="A306" s="7" t="s">
        <v>358</v>
      </c>
      <c r="B306" s="6">
        <f>VLOOKUP(A306,'Exported Results'!A$282:D704,4,FALSE)</f>
        <v>28.334386825561523</v>
      </c>
      <c r="C306" s="6">
        <f t="shared" si="9"/>
        <v>28.334386825561523</v>
      </c>
      <c r="D306" s="3" t="str">
        <f>VLOOKUP(A306,'Exported Results'!A$282:D$641,2,FALSE)</f>
        <v>0.9.a</v>
      </c>
      <c r="E306" s="13">
        <f>AVERAGE(C306:C308)</f>
        <v>28.266670227050781</v>
      </c>
      <c r="F306">
        <f>_xlfn.STDEV.P(C306:C308)</f>
        <v>6.3616322654479501E-2</v>
      </c>
    </row>
    <row r="307" spans="1:6" ht="14.25" x14ac:dyDescent="0.2">
      <c r="A307" s="7" t="s">
        <v>359</v>
      </c>
      <c r="B307" s="6">
        <f>VLOOKUP(A307,'Exported Results'!A$282:D705,4,FALSE)</f>
        <v>28.181514739990234</v>
      </c>
      <c r="C307" s="6">
        <f t="shared" si="9"/>
        <v>28.181514739990234</v>
      </c>
      <c r="D307" s="3" t="str">
        <f>VLOOKUP(A307,'Exported Results'!A$282:D$641,2,FALSE)</f>
        <v>0.9.b</v>
      </c>
    </row>
    <row r="308" spans="1:6" ht="14.25" x14ac:dyDescent="0.2">
      <c r="A308" s="7" t="s">
        <v>360</v>
      </c>
      <c r="B308" s="6">
        <f>VLOOKUP(A308,'Exported Results'!A$282:D706,4,FALSE)</f>
        <v>28.284109115600586</v>
      </c>
      <c r="C308" s="6">
        <f t="shared" si="9"/>
        <v>28.284109115600586</v>
      </c>
      <c r="D308" s="3" t="str">
        <f>VLOOKUP(A308,'Exported Results'!A$282:D$641,2,FALSE)</f>
        <v>0.9.c</v>
      </c>
    </row>
    <row r="309" spans="1:6" ht="14.25" x14ac:dyDescent="0.2">
      <c r="A309" s="7" t="s">
        <v>361</v>
      </c>
      <c r="B309" s="6">
        <f>VLOOKUP(A309,'Exported Results'!A$282:D707,4,FALSE)</f>
        <v>28.965461730957031</v>
      </c>
      <c r="C309" s="6">
        <f t="shared" si="9"/>
        <v>28.965461730957031</v>
      </c>
      <c r="D309" s="3" t="str">
        <f>VLOOKUP(A309,'Exported Results'!A$282:D$641,2,FALSE)</f>
        <v>2.4.a</v>
      </c>
      <c r="E309" s="13">
        <f>AVERAGE(C309:C311)</f>
        <v>28.854654947916668</v>
      </c>
      <c r="F309">
        <f>_xlfn.STDEV.P(C309:C311)</f>
        <v>0.10778307018032003</v>
      </c>
    </row>
    <row r="310" spans="1:6" ht="14.25" x14ac:dyDescent="0.2">
      <c r="A310" s="7" t="s">
        <v>362</v>
      </c>
      <c r="B310" s="6">
        <f>VLOOKUP(A310,'Exported Results'!A$282:D708,4,FALSE)</f>
        <v>28.708602905273438</v>
      </c>
      <c r="C310" s="6">
        <f t="shared" si="9"/>
        <v>28.708602905273438</v>
      </c>
      <c r="D310" s="3" t="str">
        <f>VLOOKUP(A310,'Exported Results'!A$282:D$641,2,FALSE)</f>
        <v>2.4.b</v>
      </c>
    </row>
    <row r="311" spans="1:6" ht="14.25" x14ac:dyDescent="0.2">
      <c r="A311" s="7" t="s">
        <v>363</v>
      </c>
      <c r="B311" s="6">
        <f>VLOOKUP(A311,'Exported Results'!A$282:D709,4,FALSE)</f>
        <v>28.889900207519531</v>
      </c>
      <c r="C311" s="6">
        <f t="shared" si="9"/>
        <v>28.889900207519531</v>
      </c>
      <c r="D311" s="3" t="str">
        <f>VLOOKUP(A311,'Exported Results'!A$282:D$641,2,FALSE)</f>
        <v>2.4.c</v>
      </c>
    </row>
    <row r="312" spans="1:6" ht="14.25" x14ac:dyDescent="0.2">
      <c r="A312" s="7" t="s">
        <v>364</v>
      </c>
      <c r="B312" s="6">
        <f>VLOOKUP(A312,'Exported Results'!A$282:D710,4,FALSE)</f>
        <v>29.893123626708984</v>
      </c>
      <c r="C312" s="6">
        <f t="shared" si="9"/>
        <v>29.893123626708984</v>
      </c>
      <c r="D312" s="3" t="str">
        <f>VLOOKUP(A312,'Exported Results'!A$282:D$641,2,FALSE)</f>
        <v>2.5.a</v>
      </c>
      <c r="E312" s="13">
        <f>AVERAGE(C312:C314)</f>
        <v>29.766581853230793</v>
      </c>
      <c r="F312">
        <f>_xlfn.STDEV.P(C312:C314)</f>
        <v>0.16236822434184311</v>
      </c>
    </row>
    <row r="313" spans="1:6" ht="14.25" x14ac:dyDescent="0.2">
      <c r="A313" s="7" t="s">
        <v>365</v>
      </c>
      <c r="B313" s="6">
        <f>VLOOKUP(A313,'Exported Results'!A$282:D711,4,FALSE)</f>
        <v>29.537372589111328</v>
      </c>
      <c r="C313" s="6">
        <f t="shared" si="9"/>
        <v>29.537372589111328</v>
      </c>
      <c r="D313" s="3" t="str">
        <f>VLOOKUP(A313,'Exported Results'!A$282:D$641,2,FALSE)</f>
        <v>2.5.b</v>
      </c>
    </row>
    <row r="314" spans="1:6" ht="14.25" x14ac:dyDescent="0.2">
      <c r="A314" s="7" t="s">
        <v>366</v>
      </c>
      <c r="B314" s="6">
        <f>VLOOKUP(A314,'Exported Results'!A$282:D712,4,FALSE)</f>
        <v>29.86924934387207</v>
      </c>
      <c r="C314" s="6">
        <f t="shared" si="9"/>
        <v>29.86924934387207</v>
      </c>
      <c r="D314" s="3" t="str">
        <f>VLOOKUP(A314,'Exported Results'!A$282:D$641,2,FALSE)</f>
        <v>2.5.c</v>
      </c>
    </row>
    <row r="315" spans="1:6" ht="14.25" x14ac:dyDescent="0.2">
      <c r="A315" s="7" t="s">
        <v>367</v>
      </c>
      <c r="B315" s="6">
        <f>VLOOKUP(A315,'Exported Results'!A$282:D713,4,FALSE)</f>
        <v>28.773784637451172</v>
      </c>
      <c r="C315" s="6">
        <f t="shared" si="9"/>
        <v>28.773784637451172</v>
      </c>
      <c r="D315" s="3" t="str">
        <f>VLOOKUP(A315,'Exported Results'!A$282:D$641,2,FALSE)</f>
        <v>2.6.a</v>
      </c>
      <c r="E315" s="13">
        <f>AVERAGE(C315:C317)</f>
        <v>28.801394780476887</v>
      </c>
      <c r="F315">
        <f>_xlfn.STDEV.P(C315:C317)</f>
        <v>5.1162543201543363E-2</v>
      </c>
    </row>
    <row r="316" spans="1:6" ht="14.25" x14ac:dyDescent="0.2">
      <c r="A316" s="7" t="s">
        <v>368</v>
      </c>
      <c r="B316" s="6">
        <f>VLOOKUP(A316,'Exported Results'!A$282:D714,4,FALSE)</f>
        <v>28.873119354248047</v>
      </c>
      <c r="C316" s="6">
        <f t="shared" si="9"/>
        <v>28.873119354248047</v>
      </c>
      <c r="D316" s="3" t="str">
        <f>VLOOKUP(A316,'Exported Results'!A$282:D$641,2,FALSE)</f>
        <v>2.6.b</v>
      </c>
    </row>
    <row r="317" spans="1:6" ht="14.25" x14ac:dyDescent="0.2">
      <c r="A317" s="7" t="s">
        <v>369</v>
      </c>
      <c r="B317" s="6">
        <f>VLOOKUP(A317,'Exported Results'!A$282:D715,4,FALSE)</f>
        <v>28.757280349731445</v>
      </c>
      <c r="C317" s="6">
        <f t="shared" si="9"/>
        <v>28.757280349731445</v>
      </c>
      <c r="D317" s="3" t="str">
        <f>VLOOKUP(A317,'Exported Results'!A$282:D$641,2,FALSE)</f>
        <v>2.6.c</v>
      </c>
    </row>
    <row r="318" spans="1:6" ht="14.25" x14ac:dyDescent="0.2">
      <c r="A318" s="7" t="s">
        <v>370</v>
      </c>
      <c r="B318" s="6">
        <f>VLOOKUP(A318,'Exported Results'!A$282:D716,4,FALSE)</f>
        <v>27.595726013183594</v>
      </c>
      <c r="C318" s="6">
        <f t="shared" si="9"/>
        <v>27.595726013183594</v>
      </c>
      <c r="D318" s="3" t="str">
        <f>VLOOKUP(A318,'Exported Results'!A$282:D$641,2,FALSE)</f>
        <v>2.7.a</v>
      </c>
      <c r="E318" s="13">
        <f>AVERAGE(C318:C320)</f>
        <v>27.724384307861328</v>
      </c>
      <c r="F318">
        <f>_xlfn.STDEV.P(C318:C320)</f>
        <v>9.47918778230155E-2</v>
      </c>
    </row>
    <row r="319" spans="1:6" ht="14.25" x14ac:dyDescent="0.2">
      <c r="A319" s="7" t="s">
        <v>371</v>
      </c>
      <c r="B319" s="6">
        <f>VLOOKUP(A319,'Exported Results'!A$282:D717,4,FALSE)</f>
        <v>27.756101608276367</v>
      </c>
      <c r="C319" s="6">
        <f t="shared" si="9"/>
        <v>27.756101608276367</v>
      </c>
      <c r="D319" s="3" t="str">
        <f>VLOOKUP(A319,'Exported Results'!A$282:D$641,2,FALSE)</f>
        <v>2.7.b</v>
      </c>
    </row>
    <row r="320" spans="1:6" ht="14.25" x14ac:dyDescent="0.2">
      <c r="A320" s="7" t="s">
        <v>372</v>
      </c>
      <c r="B320" s="6">
        <f>VLOOKUP(A320,'Exported Results'!A$282:D718,4,FALSE)</f>
        <v>27.821325302124023</v>
      </c>
      <c r="C320" s="6">
        <f t="shared" ref="C320:C362" si="10">IF(B320="Undetermined",40.1,B320)</f>
        <v>27.821325302124023</v>
      </c>
      <c r="D320" s="3" t="str">
        <f>VLOOKUP(A320,'Exported Results'!A$282:D$641,2,FALSE)</f>
        <v>2.7.c</v>
      </c>
    </row>
    <row r="321" spans="1:6" ht="14.25" x14ac:dyDescent="0.2">
      <c r="A321" s="7" t="s">
        <v>373</v>
      </c>
      <c r="B321" s="6" t="str">
        <f>VLOOKUP(A321,'Exported Results'!A$282:D719,4,FALSE)</f>
        <v>Undetermined</v>
      </c>
      <c r="C321" s="16"/>
      <c r="D321" s="3" t="str">
        <f>VLOOKUP(A321,'Exported Results'!A$282:D$641,2,FALSE)</f>
        <v>2.8.a</v>
      </c>
      <c r="E321" s="13" t="e">
        <f>AVERAGE(C321:C323)</f>
        <v>#DIV/0!</v>
      </c>
      <c r="F321" t="e">
        <f>_xlfn.STDEV.P(C321:C323)</f>
        <v>#DIV/0!</v>
      </c>
    </row>
    <row r="322" spans="1:6" ht="14.25" x14ac:dyDescent="0.2">
      <c r="A322" s="7" t="s">
        <v>374</v>
      </c>
      <c r="B322" s="6" t="str">
        <f>VLOOKUP(A322,'Exported Results'!A$282:D720,4,FALSE)</f>
        <v>Undetermined</v>
      </c>
      <c r="C322" s="16"/>
      <c r="D322" s="3" t="str">
        <f>VLOOKUP(A322,'Exported Results'!A$282:D$641,2,FALSE)</f>
        <v>2.8.b</v>
      </c>
    </row>
    <row r="323" spans="1:6" ht="14.25" x14ac:dyDescent="0.2">
      <c r="A323" s="7" t="s">
        <v>375</v>
      </c>
      <c r="B323" s="6" t="str">
        <f>VLOOKUP(A323,'Exported Results'!A$282:D721,4,FALSE)</f>
        <v>Undetermined</v>
      </c>
      <c r="C323" s="16"/>
      <c r="D323" s="3" t="str">
        <f>VLOOKUP(A323,'Exported Results'!A$282:D$641,2,FALSE)</f>
        <v>2.8.c</v>
      </c>
    </row>
    <row r="324" spans="1:6" ht="14.25" x14ac:dyDescent="0.2">
      <c r="A324" s="7" t="s">
        <v>376</v>
      </c>
      <c r="B324" s="6">
        <f>VLOOKUP(A324,'Exported Results'!A$282:D722,4,FALSE)</f>
        <v>28.755292892456055</v>
      </c>
      <c r="C324" s="6">
        <f t="shared" si="10"/>
        <v>28.755292892456055</v>
      </c>
      <c r="D324" s="3" t="str">
        <f>VLOOKUP(A324,'Exported Results'!A$282:D$641,2,FALSE)</f>
        <v>2.9.a</v>
      </c>
      <c r="E324" s="13">
        <f>AVERAGE(C324:C326)</f>
        <v>28.723313649495442</v>
      </c>
      <c r="F324">
        <f>_xlfn.STDEV.P(C324:C326)</f>
        <v>8.6422885077076197E-2</v>
      </c>
    </row>
    <row r="325" spans="1:6" ht="14.25" x14ac:dyDescent="0.2">
      <c r="A325" s="7" t="s">
        <v>377</v>
      </c>
      <c r="B325" s="6">
        <f>VLOOKUP(A325,'Exported Results'!A$282:D723,4,FALSE)</f>
        <v>28.809482574462891</v>
      </c>
      <c r="C325" s="6">
        <f t="shared" si="10"/>
        <v>28.809482574462891</v>
      </c>
      <c r="D325" s="3" t="str">
        <f>VLOOKUP(A325,'Exported Results'!A$282:D$641,2,FALSE)</f>
        <v>2.9.b</v>
      </c>
    </row>
    <row r="326" spans="1:6" ht="14.25" x14ac:dyDescent="0.2">
      <c r="A326" s="7" t="s">
        <v>378</v>
      </c>
      <c r="B326" s="6">
        <f>VLOOKUP(A326,'Exported Results'!A$282:D724,4,FALSE)</f>
        <v>28.605165481567383</v>
      </c>
      <c r="C326" s="6">
        <f t="shared" si="10"/>
        <v>28.605165481567383</v>
      </c>
      <c r="D326" s="3" t="str">
        <f>VLOOKUP(A326,'Exported Results'!A$282:D$641,2,FALSE)</f>
        <v>2.9.c</v>
      </c>
    </row>
    <row r="327" spans="1:6" ht="14.25" x14ac:dyDescent="0.2">
      <c r="A327" s="7" t="s">
        <v>379</v>
      </c>
      <c r="B327" s="6">
        <f>VLOOKUP(A327,'Exported Results'!A$282:D725,4,FALSE)</f>
        <v>32.965713500976563</v>
      </c>
      <c r="C327" s="16"/>
      <c r="D327" s="3" t="str">
        <f>VLOOKUP(A327,'Exported Results'!A$282:D$641,2,FALSE)</f>
        <v>8.4.a</v>
      </c>
      <c r="E327" s="13" t="e">
        <f>AVERAGE(C327:C329)</f>
        <v>#DIV/0!</v>
      </c>
      <c r="F327" t="e">
        <f>_xlfn.STDEV.P(C327:C329)</f>
        <v>#DIV/0!</v>
      </c>
    </row>
    <row r="328" spans="1:6" ht="14.25" x14ac:dyDescent="0.2">
      <c r="A328" s="7" t="s">
        <v>380</v>
      </c>
      <c r="B328" s="6">
        <f>VLOOKUP(A328,'Exported Results'!A$282:D726,4,FALSE)</f>
        <v>32.913646697998047</v>
      </c>
      <c r="C328" s="16"/>
      <c r="D328" s="3" t="str">
        <f>VLOOKUP(A328,'Exported Results'!A$282:D$641,2,FALSE)</f>
        <v>8.4.b</v>
      </c>
    </row>
    <row r="329" spans="1:6" ht="14.25" x14ac:dyDescent="0.2">
      <c r="A329" s="7" t="s">
        <v>381</v>
      </c>
      <c r="B329" s="6">
        <f>VLOOKUP(A329,'Exported Results'!A$282:D727,4,FALSE)</f>
        <v>32.672252655029297</v>
      </c>
      <c r="C329" s="16"/>
      <c r="D329" s="3" t="str">
        <f>VLOOKUP(A329,'Exported Results'!A$282:D$641,2,FALSE)</f>
        <v>8.4.c</v>
      </c>
    </row>
    <row r="330" spans="1:6" ht="14.25" x14ac:dyDescent="0.2">
      <c r="A330" s="7" t="s">
        <v>382</v>
      </c>
      <c r="B330" s="6">
        <f>VLOOKUP(A330,'Exported Results'!A$282:D728,4,FALSE)</f>
        <v>28.477649688720703</v>
      </c>
      <c r="C330" s="6">
        <f t="shared" si="10"/>
        <v>28.477649688720703</v>
      </c>
      <c r="D330" s="3" t="str">
        <f>VLOOKUP(A330,'Exported Results'!A$282:D$641,2,FALSE)</f>
        <v>8.5.a</v>
      </c>
      <c r="E330" s="13">
        <f>AVERAGE(C330:C332)</f>
        <v>28.451128641764324</v>
      </c>
      <c r="F330">
        <f>_xlfn.STDEV.P(C330:C332)</f>
        <v>4.460871915637931E-2</v>
      </c>
    </row>
    <row r="331" spans="1:6" ht="14.25" x14ac:dyDescent="0.2">
      <c r="A331" s="7" t="s">
        <v>383</v>
      </c>
      <c r="B331" s="6">
        <f>VLOOKUP(A331,'Exported Results'!A$282:D729,4,FALSE)</f>
        <v>28.388296127319336</v>
      </c>
      <c r="C331" s="6">
        <f t="shared" si="10"/>
        <v>28.388296127319336</v>
      </c>
      <c r="D331" s="3" t="str">
        <f>VLOOKUP(A331,'Exported Results'!A$282:D$641,2,FALSE)</f>
        <v>8.5.b</v>
      </c>
    </row>
    <row r="332" spans="1:6" ht="14.25" x14ac:dyDescent="0.2">
      <c r="A332" s="7" t="s">
        <v>384</v>
      </c>
      <c r="B332" s="6">
        <f>VLOOKUP(A332,'Exported Results'!A$282:D730,4,FALSE)</f>
        <v>28.48744010925293</v>
      </c>
      <c r="C332" s="6">
        <f t="shared" si="10"/>
        <v>28.48744010925293</v>
      </c>
      <c r="D332" s="3" t="str">
        <f>VLOOKUP(A332,'Exported Results'!A$282:D$641,2,FALSE)</f>
        <v>8.5.c</v>
      </c>
    </row>
    <row r="333" spans="1:6" ht="14.25" x14ac:dyDescent="0.2">
      <c r="A333" s="7" t="s">
        <v>385</v>
      </c>
      <c r="B333" s="6">
        <f>VLOOKUP(A333,'Exported Results'!A$282:D731,4,FALSE)</f>
        <v>28.105075836181641</v>
      </c>
      <c r="C333" s="6">
        <f t="shared" si="10"/>
        <v>28.105075836181641</v>
      </c>
      <c r="D333" s="3" t="str">
        <f>VLOOKUP(A333,'Exported Results'!A$282:D$641,2,FALSE)</f>
        <v>8.6.a</v>
      </c>
      <c r="E333" s="13">
        <f>AVERAGE(C333:C335)</f>
        <v>28.154822031656902</v>
      </c>
      <c r="F333">
        <f>_xlfn.STDEV.P(C333:C335)</f>
        <v>4.1382373557744802E-2</v>
      </c>
    </row>
    <row r="334" spans="1:6" ht="14.25" x14ac:dyDescent="0.2">
      <c r="A334" s="7" t="s">
        <v>386</v>
      </c>
      <c r="B334" s="6">
        <f>VLOOKUP(A334,'Exported Results'!A$282:D732,4,FALSE)</f>
        <v>28.206392288208008</v>
      </c>
      <c r="C334" s="6">
        <f t="shared" si="10"/>
        <v>28.206392288208008</v>
      </c>
      <c r="D334" s="3" t="str">
        <f>VLOOKUP(A334,'Exported Results'!A$282:D$641,2,FALSE)</f>
        <v>8.6.b</v>
      </c>
    </row>
    <row r="335" spans="1:6" ht="14.25" x14ac:dyDescent="0.2">
      <c r="A335" s="7" t="s">
        <v>387</v>
      </c>
      <c r="B335" s="6">
        <f>VLOOKUP(A335,'Exported Results'!A$282:D733,4,FALSE)</f>
        <v>28.152997970581055</v>
      </c>
      <c r="C335" s="6">
        <f t="shared" si="10"/>
        <v>28.152997970581055</v>
      </c>
      <c r="D335" s="3" t="str">
        <f>VLOOKUP(A335,'Exported Results'!A$282:D$641,2,FALSE)</f>
        <v>8.6.c</v>
      </c>
    </row>
    <row r="336" spans="1:6" ht="14.25" x14ac:dyDescent="0.2">
      <c r="A336" s="7" t="s">
        <v>388</v>
      </c>
      <c r="B336" s="6">
        <f>VLOOKUP(A336,'Exported Results'!A$282:D734,4,FALSE)</f>
        <v>28.384344100952148</v>
      </c>
      <c r="C336" s="6">
        <f t="shared" si="10"/>
        <v>28.384344100952148</v>
      </c>
      <c r="D336" s="3" t="str">
        <f>VLOOKUP(A336,'Exported Results'!A$282:D$641,2,FALSE)</f>
        <v>8.7.a</v>
      </c>
      <c r="E336" s="13">
        <f>AVERAGE(C336:C338)</f>
        <v>28.216995239257813</v>
      </c>
      <c r="F336">
        <f>_xlfn.STDEV.P(C336:C338)</f>
        <v>0.11877832990467821</v>
      </c>
    </row>
    <row r="337" spans="1:6" ht="14.25" x14ac:dyDescent="0.2">
      <c r="A337" s="7" t="s">
        <v>389</v>
      </c>
      <c r="B337" s="6">
        <f>VLOOKUP(A337,'Exported Results'!A$282:D735,4,FALSE)</f>
        <v>28.145898818969727</v>
      </c>
      <c r="C337" s="6">
        <f t="shared" si="10"/>
        <v>28.145898818969727</v>
      </c>
      <c r="D337" s="3" t="str">
        <f>VLOOKUP(A337,'Exported Results'!A$282:D$641,2,FALSE)</f>
        <v>8.7.b</v>
      </c>
    </row>
    <row r="338" spans="1:6" ht="14.25" x14ac:dyDescent="0.2">
      <c r="A338" s="7" t="s">
        <v>390</v>
      </c>
      <c r="B338" s="6">
        <f>VLOOKUP(A338,'Exported Results'!A$282:D736,4,FALSE)</f>
        <v>28.120742797851563</v>
      </c>
      <c r="C338" s="6">
        <f t="shared" si="10"/>
        <v>28.120742797851563</v>
      </c>
      <c r="D338" s="3" t="str">
        <f>VLOOKUP(A338,'Exported Results'!A$282:D$641,2,FALSE)</f>
        <v>8.7.c</v>
      </c>
    </row>
    <row r="339" spans="1:6" ht="14.25" x14ac:dyDescent="0.2">
      <c r="A339" s="7" t="s">
        <v>391</v>
      </c>
      <c r="B339" s="6">
        <f>VLOOKUP(A339,'Exported Results'!A$282:D737,4,FALSE)</f>
        <v>28.091293334960938</v>
      </c>
      <c r="C339" s="6">
        <f t="shared" si="10"/>
        <v>28.091293334960938</v>
      </c>
      <c r="D339" s="3" t="str">
        <f>VLOOKUP(A339,'Exported Results'!A$282:D$641,2,FALSE)</f>
        <v>8.8.a</v>
      </c>
      <c r="E339" s="13">
        <f>AVERAGE(C339:C341)</f>
        <v>27.98768424987793</v>
      </c>
      <c r="F339">
        <f>_xlfn.STDEV.P(C339:C341)</f>
        <v>7.396544170763833E-2</v>
      </c>
    </row>
    <row r="340" spans="1:6" ht="14.25" x14ac:dyDescent="0.2">
      <c r="A340" s="7" t="s">
        <v>392</v>
      </c>
      <c r="B340" s="6">
        <f>VLOOKUP(A340,'Exported Results'!A$282:D738,4,FALSE)</f>
        <v>27.923421859741211</v>
      </c>
      <c r="C340" s="6">
        <f t="shared" si="10"/>
        <v>27.923421859741211</v>
      </c>
      <c r="D340" s="3" t="str">
        <f>VLOOKUP(A340,'Exported Results'!A$282:D$641,2,FALSE)</f>
        <v>8.8.b</v>
      </c>
    </row>
    <row r="341" spans="1:6" ht="14.25" x14ac:dyDescent="0.2">
      <c r="A341" s="7" t="s">
        <v>393</v>
      </c>
      <c r="B341" s="6">
        <f>VLOOKUP(A341,'Exported Results'!A$282:D739,4,FALSE)</f>
        <v>27.948337554931641</v>
      </c>
      <c r="C341" s="6">
        <f t="shared" si="10"/>
        <v>27.948337554931641</v>
      </c>
      <c r="D341" s="3" t="str">
        <f>VLOOKUP(A341,'Exported Results'!A$282:D$641,2,FALSE)</f>
        <v>8.8.c</v>
      </c>
    </row>
    <row r="342" spans="1:6" ht="14.25" x14ac:dyDescent="0.2">
      <c r="A342" s="7" t="s">
        <v>394</v>
      </c>
      <c r="B342" s="6">
        <f>VLOOKUP(A342,'Exported Results'!A$282:D740,4,FALSE)</f>
        <v>28.711206436157227</v>
      </c>
      <c r="C342" s="6">
        <f t="shared" si="10"/>
        <v>28.711206436157227</v>
      </c>
      <c r="D342" s="3" t="str">
        <f>VLOOKUP(A342,'Exported Results'!A$282:D$641,2,FALSE)</f>
        <v>8.9.a</v>
      </c>
      <c r="E342" s="13">
        <f>AVERAGE(C342:C344)</f>
        <v>28.373884836832683</v>
      </c>
      <c r="F342">
        <f>_xlfn.STDEV.P(C342:C344)</f>
        <v>0.27334884670238074</v>
      </c>
    </row>
    <row r="343" spans="1:6" ht="14.25" x14ac:dyDescent="0.2">
      <c r="A343" s="7" t="s">
        <v>395</v>
      </c>
      <c r="B343" s="6">
        <f>VLOOKUP(A343,'Exported Results'!A$282:D741,4,FALSE)</f>
        <v>28.368747711181641</v>
      </c>
      <c r="C343" s="6">
        <f t="shared" si="10"/>
        <v>28.368747711181641</v>
      </c>
      <c r="D343" s="3" t="str">
        <f>VLOOKUP(A343,'Exported Results'!A$282:D$641,2,FALSE)</f>
        <v>8.9.b</v>
      </c>
    </row>
    <row r="344" spans="1:6" ht="14.25" x14ac:dyDescent="0.2">
      <c r="A344" s="7" t="s">
        <v>396</v>
      </c>
      <c r="B344" s="6">
        <f>VLOOKUP(A344,'Exported Results'!A$282:D742,4,FALSE)</f>
        <v>28.04170036315918</v>
      </c>
      <c r="C344" s="6">
        <f t="shared" si="10"/>
        <v>28.04170036315918</v>
      </c>
      <c r="D344" s="3" t="str">
        <f>VLOOKUP(A344,'Exported Results'!A$282:D$641,2,FALSE)</f>
        <v>8.9.c</v>
      </c>
    </row>
    <row r="345" spans="1:6" ht="14.25" x14ac:dyDescent="0.2">
      <c r="A345" s="7" t="s">
        <v>397</v>
      </c>
      <c r="B345" s="6" t="str">
        <f>VLOOKUP(A345,'Exported Results'!A$282:D743,4,FALSE)</f>
        <v>Undetermined</v>
      </c>
      <c r="C345" s="6">
        <f t="shared" si="10"/>
        <v>40.1</v>
      </c>
      <c r="D345" s="3" t="str">
        <f>VLOOKUP(A345,'Exported Results'!A$282:D$641,2,FALSE)</f>
        <v/>
      </c>
      <c r="E345" s="13">
        <f>AVERAGE(C345:C347)</f>
        <v>40.1</v>
      </c>
      <c r="F345">
        <f>_xlfn.STDEV.P(C345:C347)</f>
        <v>0</v>
      </c>
    </row>
    <row r="346" spans="1:6" ht="14.25" x14ac:dyDescent="0.2">
      <c r="A346" s="7" t="s">
        <v>398</v>
      </c>
      <c r="B346" s="6" t="str">
        <f>VLOOKUP(A346,'Exported Results'!A$282:D744,4,FALSE)</f>
        <v>Undetermined</v>
      </c>
      <c r="C346" s="6">
        <f t="shared" si="10"/>
        <v>40.1</v>
      </c>
      <c r="D346" s="3" t="str">
        <f>VLOOKUP(A346,'Exported Results'!A$282:D$641,2,FALSE)</f>
        <v/>
      </c>
    </row>
    <row r="347" spans="1:6" ht="14.25" x14ac:dyDescent="0.2">
      <c r="A347" s="7" t="s">
        <v>399</v>
      </c>
      <c r="B347" s="6" t="str">
        <f>VLOOKUP(A347,'Exported Results'!A$282:D745,4,FALSE)</f>
        <v>Undetermined</v>
      </c>
      <c r="C347" s="6">
        <f t="shared" si="10"/>
        <v>40.1</v>
      </c>
      <c r="D347" s="3" t="str">
        <f>VLOOKUP(A347,'Exported Results'!A$282:D$641,2,FALSE)</f>
        <v/>
      </c>
    </row>
    <row r="348" spans="1:6" ht="14.25" x14ac:dyDescent="0.2">
      <c r="A348" s="7" t="s">
        <v>400</v>
      </c>
      <c r="B348" s="6" t="str">
        <f>VLOOKUP(A348,'Exported Results'!A$282:D746,4,FALSE)</f>
        <v>Undetermined</v>
      </c>
      <c r="C348" s="6">
        <f t="shared" si="10"/>
        <v>40.1</v>
      </c>
      <c r="D348" s="3" t="str">
        <f>VLOOKUP(A348,'Exported Results'!A$282:D$641,2,FALSE)</f>
        <v/>
      </c>
      <c r="E348" s="13">
        <f>AVERAGE(C348:C350)</f>
        <v>40.1</v>
      </c>
      <c r="F348">
        <f>_xlfn.STDEV.P(C348:C350)</f>
        <v>0</v>
      </c>
    </row>
    <row r="349" spans="1:6" ht="14.25" x14ac:dyDescent="0.2">
      <c r="A349" s="7" t="s">
        <v>401</v>
      </c>
      <c r="B349" s="6" t="str">
        <f>VLOOKUP(A349,'Exported Results'!A$282:D747,4,FALSE)</f>
        <v>Undetermined</v>
      </c>
      <c r="C349" s="6">
        <f t="shared" si="10"/>
        <v>40.1</v>
      </c>
      <c r="D349" s="3" t="str">
        <f>VLOOKUP(A349,'Exported Results'!A$282:D$641,2,FALSE)</f>
        <v/>
      </c>
    </row>
    <row r="350" spans="1:6" ht="14.25" x14ac:dyDescent="0.2">
      <c r="A350" s="7" t="s">
        <v>402</v>
      </c>
      <c r="B350" s="6" t="str">
        <f>VLOOKUP(A350,'Exported Results'!A$282:D748,4,FALSE)</f>
        <v>Undetermined</v>
      </c>
      <c r="C350" s="6">
        <f t="shared" si="10"/>
        <v>40.1</v>
      </c>
      <c r="D350" s="3" t="str">
        <f>VLOOKUP(A350,'Exported Results'!A$282:D$641,2,FALSE)</f>
        <v/>
      </c>
    </row>
    <row r="351" spans="1:6" ht="14.25" x14ac:dyDescent="0.2">
      <c r="A351" s="7" t="s">
        <v>403</v>
      </c>
      <c r="B351" s="6" t="str">
        <f>VLOOKUP(A351,'Exported Results'!A$282:D749,4,FALSE)</f>
        <v>Undetermined</v>
      </c>
      <c r="C351" s="6">
        <f t="shared" si="10"/>
        <v>40.1</v>
      </c>
      <c r="D351" s="3" t="str">
        <f>VLOOKUP(A351,'Exported Results'!A$282:D$641,2,FALSE)</f>
        <v/>
      </c>
      <c r="E351" s="13">
        <f>AVERAGE(C351:C353)</f>
        <v>40.1</v>
      </c>
      <c r="F351">
        <f>_xlfn.STDEV.P(C351:C353)</f>
        <v>0</v>
      </c>
    </row>
    <row r="352" spans="1:6" ht="14.25" x14ac:dyDescent="0.2">
      <c r="A352" s="7" t="s">
        <v>404</v>
      </c>
      <c r="B352" s="6" t="str">
        <f>VLOOKUP(A352,'Exported Results'!A$282:D750,4,FALSE)</f>
        <v>Undetermined</v>
      </c>
      <c r="C352" s="6">
        <f t="shared" si="10"/>
        <v>40.1</v>
      </c>
      <c r="D352" s="3" t="str">
        <f>VLOOKUP(A352,'Exported Results'!A$282:D$641,2,FALSE)</f>
        <v/>
      </c>
    </row>
    <row r="353" spans="1:6" ht="14.25" x14ac:dyDescent="0.2">
      <c r="A353" s="7" t="s">
        <v>405</v>
      </c>
      <c r="B353" s="6" t="str">
        <f>VLOOKUP(A353,'Exported Results'!A$282:D751,4,FALSE)</f>
        <v>Undetermined</v>
      </c>
      <c r="C353" s="6">
        <f t="shared" si="10"/>
        <v>40.1</v>
      </c>
      <c r="D353" s="3" t="str">
        <f>VLOOKUP(A353,'Exported Results'!A$282:D$641,2,FALSE)</f>
        <v/>
      </c>
    </row>
    <row r="354" spans="1:6" ht="14.25" x14ac:dyDescent="0.2">
      <c r="A354" s="7" t="s">
        <v>406</v>
      </c>
      <c r="B354" s="6" t="str">
        <f>VLOOKUP(A354,'Exported Results'!A$282:D752,4,FALSE)</f>
        <v>Undetermined</v>
      </c>
      <c r="C354" s="6">
        <f t="shared" si="10"/>
        <v>40.1</v>
      </c>
      <c r="D354" s="3" t="str">
        <f>VLOOKUP(A354,'Exported Results'!A$282:D$641,2,FALSE)</f>
        <v/>
      </c>
      <c r="E354" s="13">
        <f>AVERAGE(C354:C356)</f>
        <v>40.1</v>
      </c>
      <c r="F354">
        <f>_xlfn.STDEV.P(C354:C356)</f>
        <v>0</v>
      </c>
    </row>
    <row r="355" spans="1:6" ht="14.25" x14ac:dyDescent="0.2">
      <c r="A355" s="7" t="s">
        <v>407</v>
      </c>
      <c r="B355" s="6" t="str">
        <f>VLOOKUP(A355,'Exported Results'!A$282:D753,4,FALSE)</f>
        <v>Undetermined</v>
      </c>
      <c r="C355" s="6">
        <f t="shared" si="10"/>
        <v>40.1</v>
      </c>
      <c r="D355" s="3" t="str">
        <f>VLOOKUP(A355,'Exported Results'!A$282:D$641,2,FALSE)</f>
        <v/>
      </c>
    </row>
    <row r="356" spans="1:6" ht="14.25" x14ac:dyDescent="0.2">
      <c r="A356" s="7" t="s">
        <v>408</v>
      </c>
      <c r="B356" s="6" t="str">
        <f>VLOOKUP(A356,'Exported Results'!A$282:D754,4,FALSE)</f>
        <v>Undetermined</v>
      </c>
      <c r="C356" s="6">
        <f t="shared" si="10"/>
        <v>40.1</v>
      </c>
      <c r="D356" s="3" t="str">
        <f>VLOOKUP(A356,'Exported Results'!A$282:D$641,2,FALSE)</f>
        <v/>
      </c>
    </row>
    <row r="357" spans="1:6" ht="14.25" x14ac:dyDescent="0.2">
      <c r="A357" s="7" t="s">
        <v>409</v>
      </c>
      <c r="B357" s="6" t="str">
        <f>VLOOKUP(A357,'Exported Results'!A$282:D755,4,FALSE)</f>
        <v>Undetermined</v>
      </c>
      <c r="C357" s="6">
        <f t="shared" si="10"/>
        <v>40.1</v>
      </c>
      <c r="D357" s="3" t="str">
        <f>VLOOKUP(A357,'Exported Results'!A$282:D$641,2,FALSE)</f>
        <v/>
      </c>
      <c r="E357" s="13">
        <f>AVERAGE(C357:C359)</f>
        <v>40.1</v>
      </c>
      <c r="F357">
        <f>_xlfn.STDEV.P(C357:C359)</f>
        <v>0</v>
      </c>
    </row>
    <row r="358" spans="1:6" ht="14.25" x14ac:dyDescent="0.2">
      <c r="A358" s="7" t="s">
        <v>410</v>
      </c>
      <c r="B358" s="6" t="str">
        <f>VLOOKUP(A358,'Exported Results'!A$282:D756,4,FALSE)</f>
        <v>Undetermined</v>
      </c>
      <c r="C358" s="6">
        <f t="shared" si="10"/>
        <v>40.1</v>
      </c>
      <c r="D358" s="3" t="str">
        <f>VLOOKUP(A358,'Exported Results'!A$282:D$641,2,FALSE)</f>
        <v/>
      </c>
    </row>
    <row r="359" spans="1:6" ht="14.25" x14ac:dyDescent="0.2">
      <c r="A359" s="7" t="s">
        <v>411</v>
      </c>
      <c r="B359" s="6" t="str">
        <f>VLOOKUP(A359,'Exported Results'!A$282:D757,4,FALSE)</f>
        <v>Undetermined</v>
      </c>
      <c r="C359" s="6">
        <f t="shared" si="10"/>
        <v>40.1</v>
      </c>
      <c r="D359" s="3" t="str">
        <f>VLOOKUP(A359,'Exported Results'!A$282:D$641,2,FALSE)</f>
        <v/>
      </c>
    </row>
    <row r="360" spans="1:6" ht="14.25" x14ac:dyDescent="0.2">
      <c r="A360" s="7" t="s">
        <v>412</v>
      </c>
      <c r="B360" s="6" t="str">
        <f>VLOOKUP(A360,'Exported Results'!A$282:D758,4,FALSE)</f>
        <v>Undetermined</v>
      </c>
      <c r="C360" s="6">
        <f t="shared" si="10"/>
        <v>40.1</v>
      </c>
      <c r="D360" s="3" t="str">
        <f>VLOOKUP(A360,'Exported Results'!A$282:D$641,2,FALSE)</f>
        <v/>
      </c>
      <c r="E360" s="13">
        <f>AVERAGE(C360:C362)</f>
        <v>40.1</v>
      </c>
      <c r="F360">
        <f>_xlfn.STDEV.P(C360:C362)</f>
        <v>0</v>
      </c>
    </row>
    <row r="361" spans="1:6" ht="14.25" x14ac:dyDescent="0.2">
      <c r="A361" s="7" t="s">
        <v>413</v>
      </c>
      <c r="B361" s="6" t="str">
        <f>VLOOKUP(A361,'Exported Results'!A$282:D759,4,FALSE)</f>
        <v>Undetermined</v>
      </c>
      <c r="C361" s="6">
        <f t="shared" si="10"/>
        <v>40.1</v>
      </c>
      <c r="D361" s="3" t="str">
        <f>VLOOKUP(A361,'Exported Results'!A$282:D$641,2,FALSE)</f>
        <v/>
      </c>
    </row>
    <row r="362" spans="1:6" ht="14.25" x14ac:dyDescent="0.2">
      <c r="A362" s="7" t="s">
        <v>414</v>
      </c>
      <c r="B362" s="6" t="str">
        <f>VLOOKUP(A362,'Exported Results'!A$282:D760,4,FALSE)</f>
        <v>Undetermined</v>
      </c>
      <c r="C362" s="6">
        <f t="shared" si="10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3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3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3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3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3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3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3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3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8" workbookViewId="0">
      <selection activeCell="G39" sqref="G39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>B33</f>
        <v>STD 10a</v>
      </c>
      <c r="B2">
        <f>C33</f>
        <v>25.369516372680664</v>
      </c>
      <c r="C2">
        <f>D33</f>
        <v>0.10859323199759521</v>
      </c>
      <c r="D2" s="9">
        <f>C2/B2</f>
        <v>4.2804612591879985E-3</v>
      </c>
      <c r="E2">
        <v>0.1</v>
      </c>
      <c r="F2" s="8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25.907526016235352</v>
      </c>
      <c r="C3">
        <f t="shared" ref="C3" si="1">D34</f>
        <v>0.22035222846219513</v>
      </c>
      <c r="D3" s="9">
        <f t="shared" ref="D3:D7" si="2">C3/B3</f>
        <v>8.505336569925975E-3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27.283505121866863</v>
      </c>
      <c r="C4">
        <f t="shared" ref="C4" si="4">D35</f>
        <v>7.5715866314751509E-2</v>
      </c>
      <c r="D4" s="9">
        <f t="shared" si="2"/>
        <v>2.7751517254308959E-3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28.171829859415691</v>
      </c>
      <c r="C5">
        <f t="shared" ref="C5" si="5">D36</f>
        <v>0.21826887502553863</v>
      </c>
      <c r="D5" s="9">
        <f t="shared" si="2"/>
        <v>7.747770596186105E-3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29.307207107543945</v>
      </c>
      <c r="C6">
        <f t="shared" ref="C6" si="6">D37</f>
        <v>0.10852985690228768</v>
      </c>
      <c r="D6" s="9">
        <f t="shared" si="2"/>
        <v>3.7031797845503709E-3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30.466386795043945</v>
      </c>
      <c r="C7">
        <f t="shared" ref="C7" si="7">D38</f>
        <v>0.13469040752183981</v>
      </c>
      <c r="D7" s="9">
        <f t="shared" si="2"/>
        <v>4.4209511429084292E-3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-3.4711035587405124</v>
      </c>
    </row>
    <row r="29" spans="1:7" x14ac:dyDescent="0.2">
      <c r="B29" s="12" t="s">
        <v>447</v>
      </c>
      <c r="C29" s="12">
        <f>10^(-1/C28)</f>
        <v>1.9413007231807402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Workspace'!D3</f>
        <v>Blank 1.a</v>
      </c>
      <c r="C32" s="8">
        <f>'Results Workspace'!E3</f>
        <v>34.03434944152832</v>
      </c>
      <c r="D32" s="8">
        <f>'Results Workspace'!F3</f>
        <v>0.87781715393066406</v>
      </c>
      <c r="E32" s="9">
        <f>D32/C32</f>
        <v>2.5792094408584806E-2</v>
      </c>
      <c r="F32" s="8">
        <f>$C$29^($B$3-C32)</f>
        <v>4.5574357170448838E-3</v>
      </c>
      <c r="G32" s="8"/>
    </row>
    <row r="33" spans="2:7" x14ac:dyDescent="0.2">
      <c r="B33" t="str">
        <f>'Results Workspace'!D6</f>
        <v>STD 10a</v>
      </c>
      <c r="C33" s="8">
        <f>'Results Workspace'!E6</f>
        <v>25.369516372680664</v>
      </c>
      <c r="D33" s="8">
        <f>'Results Workspace'!F6</f>
        <v>0.10859323199759521</v>
      </c>
      <c r="E33" s="9">
        <f>D33/C33</f>
        <v>4.2804612591879985E-3</v>
      </c>
      <c r="F33" s="8">
        <f>$C$29^($B$3-C33)</f>
        <v>1.4288831452200168</v>
      </c>
      <c r="G33" s="8"/>
    </row>
    <row r="34" spans="2:7" x14ac:dyDescent="0.2">
      <c r="B34" t="str">
        <f>'Results Workspace'!D9</f>
        <v>STD 20a</v>
      </c>
      <c r="C34" s="8">
        <f>'Results Workspace'!E9</f>
        <v>25.907526016235352</v>
      </c>
      <c r="D34" s="8">
        <f>'Results Workspace'!F9</f>
        <v>0.22035222846219513</v>
      </c>
      <c r="E34" s="9">
        <f>D34/C34</f>
        <v>8.505336569925975E-3</v>
      </c>
      <c r="F34" s="8">
        <f>$C$29^($B$3-C34)</f>
        <v>1</v>
      </c>
      <c r="G34" s="8"/>
    </row>
    <row r="35" spans="2:7" x14ac:dyDescent="0.2">
      <c r="B35" t="str">
        <f>'Results Workspace'!D12</f>
        <v>STD 40a</v>
      </c>
      <c r="C35" s="8">
        <f>'Results Workspace'!E12</f>
        <v>27.283505121866863</v>
      </c>
      <c r="D35" s="8">
        <f>'Results Workspace'!F12</f>
        <v>7.5715866314751509E-2</v>
      </c>
      <c r="E35" s="9">
        <f>D35/C35</f>
        <v>2.7751517254308959E-3</v>
      </c>
      <c r="F35" s="8">
        <f>$C$29^($B$3-C35)</f>
        <v>0.4014119564676617</v>
      </c>
      <c r="G35" s="8"/>
    </row>
    <row r="36" spans="2:7" x14ac:dyDescent="0.2">
      <c r="B36" t="str">
        <f>'Results Workspace'!D15</f>
        <v>STD 80a</v>
      </c>
      <c r="C36" s="8">
        <f>'Results Workspace'!E15</f>
        <v>28.171829859415691</v>
      </c>
      <c r="D36" s="8">
        <f>'Results Workspace'!F15</f>
        <v>0.21826887502553863</v>
      </c>
      <c r="E36" s="9">
        <f>D36/C36</f>
        <v>7.747770596186105E-3</v>
      </c>
      <c r="F36" s="8">
        <f>$C$29^($B$3-C36)</f>
        <v>0.22267441949536024</v>
      </c>
      <c r="G36" s="8"/>
    </row>
    <row r="37" spans="2:7" x14ac:dyDescent="0.2">
      <c r="B37" t="str">
        <f>'Results Workspace'!D18</f>
        <v>STD 160a</v>
      </c>
      <c r="C37" s="8">
        <f>'Results Workspace'!E18</f>
        <v>29.307207107543945</v>
      </c>
      <c r="D37" s="8">
        <f>'Results Workspace'!F18</f>
        <v>0.10852985690228768</v>
      </c>
      <c r="E37" s="9">
        <f t="shared" ref="E37:E45" si="8">D37/C37</f>
        <v>3.7031797845503709E-3</v>
      </c>
      <c r="F37" s="8">
        <f t="shared" ref="F37:F46" si="9">$C$29^($B$3-C37)</f>
        <v>0.10485189883066749</v>
      </c>
      <c r="G37" s="8"/>
    </row>
    <row r="38" spans="2:7" x14ac:dyDescent="0.2">
      <c r="B38" t="str">
        <f>'Results Workspace'!D21</f>
        <v>STD 320a</v>
      </c>
      <c r="C38" s="8">
        <f>'Results Workspace'!E21</f>
        <v>30.466386795043945</v>
      </c>
      <c r="D38" s="8">
        <f>'Results Workspace'!F21</f>
        <v>0.13469040752183981</v>
      </c>
      <c r="E38" s="9">
        <f t="shared" si="8"/>
        <v>4.4209511429084292E-3</v>
      </c>
      <c r="F38" s="8">
        <f t="shared" si="9"/>
        <v>4.8598734333342365E-2</v>
      </c>
      <c r="G38" s="8"/>
    </row>
    <row r="39" spans="2:7" x14ac:dyDescent="0.2">
      <c r="B39" t="str">
        <f>'Results Workspace'!D24</f>
        <v>0.1.a</v>
      </c>
      <c r="C39" s="8">
        <f>'Results Workspace'!E24</f>
        <v>26.984383900960285</v>
      </c>
      <c r="D39" s="8">
        <f>'Results Workspace'!F24</f>
        <v>0.10113031158001506</v>
      </c>
      <c r="E39" s="9">
        <f t="shared" si="8"/>
        <v>3.7477346880028699E-3</v>
      </c>
      <c r="F39" s="8">
        <f t="shared" si="9"/>
        <v>0.48951384462931069</v>
      </c>
      <c r="G39" s="8">
        <f>F39/'Housekeeper summary'!$E$4</f>
        <v>0.92361102760247293</v>
      </c>
    </row>
    <row r="40" spans="2:7" x14ac:dyDescent="0.2">
      <c r="B40" t="str">
        <f>'Results Workspace'!D27</f>
        <v>0.2.a</v>
      </c>
      <c r="C40" s="8">
        <f>'Results Workspace'!E27</f>
        <v>27.16304651896159</v>
      </c>
      <c r="D40" s="8">
        <f>'Results Workspace'!F27</f>
        <v>7.6943245401674396E-2</v>
      </c>
      <c r="E40" s="9">
        <f t="shared" si="8"/>
        <v>2.8326441714835986E-3</v>
      </c>
      <c r="F40" s="8">
        <f t="shared" si="9"/>
        <v>0.4348040317052449</v>
      </c>
      <c r="G40" s="8">
        <f>F40/'Housekeeper summary'!$E$4</f>
        <v>0.82038496548159412</v>
      </c>
    </row>
    <row r="41" spans="2:7" x14ac:dyDescent="0.2">
      <c r="B41" t="str">
        <f>'Results Workspace'!D30</f>
        <v>0.3.a</v>
      </c>
      <c r="C41" s="8">
        <f>'Results Workspace'!E30</f>
        <v>27.093291600545246</v>
      </c>
      <c r="D41" s="8">
        <f>'Results Workspace'!F30</f>
        <v>7.894514318933335E-2</v>
      </c>
      <c r="E41" s="9">
        <f t="shared" si="8"/>
        <v>2.9138262103134268E-3</v>
      </c>
      <c r="F41" s="8">
        <f t="shared" si="9"/>
        <v>0.45539625341254492</v>
      </c>
      <c r="G41" s="8">
        <f>F41/'Housekeeper summary'!$E$4</f>
        <v>0.85923821398593381</v>
      </c>
    </row>
    <row r="42" spans="2:7" x14ac:dyDescent="0.2">
      <c r="B42" t="str">
        <f>'Results Workspace'!D33</f>
        <v>2.1.a</v>
      </c>
      <c r="C42" s="8">
        <f>'Results Workspace'!E33</f>
        <v>26.91857401529948</v>
      </c>
      <c r="D42" s="8">
        <f>'Results Workspace'!F33</f>
        <v>4.0919358807152285E-2</v>
      </c>
      <c r="E42" s="9">
        <f t="shared" si="8"/>
        <v>1.5201161392834294E-3</v>
      </c>
      <c r="F42" s="8">
        <f t="shared" si="9"/>
        <v>0.51135715200388432</v>
      </c>
      <c r="G42" s="8">
        <f>F42/'Housekeeper summary'!$E$4</f>
        <v>0.96482481510166851</v>
      </c>
    </row>
    <row r="43" spans="2:7" x14ac:dyDescent="0.2">
      <c r="B43" t="str">
        <f>'Results Workspace'!D36</f>
        <v>2.2.a</v>
      </c>
      <c r="C43" s="8">
        <f>'Results Workspace'!E36</f>
        <v>27.575932184855144</v>
      </c>
      <c r="D43" s="8">
        <f>'Results Workspace'!F36</f>
        <v>0.18415552993624823</v>
      </c>
      <c r="E43" s="9">
        <f t="shared" si="8"/>
        <v>6.678125283372559E-3</v>
      </c>
      <c r="F43" s="8">
        <f t="shared" si="9"/>
        <v>0.33063145485081991</v>
      </c>
      <c r="G43" s="8">
        <f>F43/'Housekeeper summary'!$E$4</f>
        <v>0.62383293368079229</v>
      </c>
    </row>
    <row r="44" spans="2:7" x14ac:dyDescent="0.2">
      <c r="B44" t="str">
        <f>'Results Workspace'!D39</f>
        <v>2.3.a</v>
      </c>
      <c r="C44" s="8">
        <f>'Results Workspace'!E39</f>
        <v>26.997462590535481</v>
      </c>
      <c r="D44" s="8">
        <f>'Results Workspace'!F39</f>
        <v>0.2539328187239861</v>
      </c>
      <c r="E44" s="9">
        <f t="shared" si="8"/>
        <v>9.4058031517749927E-3</v>
      </c>
      <c r="F44" s="8">
        <f t="shared" si="9"/>
        <v>0.48528526266877881</v>
      </c>
      <c r="G44" s="8">
        <f>F44/'Housekeeper summary'!$E$4</f>
        <v>0.91563257107316753</v>
      </c>
    </row>
    <row r="45" spans="2:7" x14ac:dyDescent="0.2">
      <c r="B45" t="str">
        <f>'Results Workspace'!D42</f>
        <v>8.1.a</v>
      </c>
      <c r="C45" s="8">
        <f>'Results Workspace'!E42</f>
        <v>27.445763905843098</v>
      </c>
      <c r="D45" s="8">
        <f>'Results Workspace'!F42</f>
        <v>5.0216521541691671E-2</v>
      </c>
      <c r="E45" s="9">
        <f t="shared" si="8"/>
        <v>1.8296638313281112E-3</v>
      </c>
      <c r="F45" s="8">
        <f t="shared" si="9"/>
        <v>0.36044973801486974</v>
      </c>
      <c r="G45" s="8">
        <f>F45/'Housekeeper summary'!$E$4</f>
        <v>0.68009384531107497</v>
      </c>
    </row>
    <row r="46" spans="2:7" x14ac:dyDescent="0.2">
      <c r="B46" t="str">
        <f>'Results Workspace'!D45</f>
        <v>8.2.a</v>
      </c>
      <c r="C46" s="8">
        <f>'Results Workspace'!E45</f>
        <v>27.542993545532227</v>
      </c>
      <c r="D46" s="8">
        <f>'Results Workspace'!F45</f>
        <v>3.5537233297464874E-2</v>
      </c>
      <c r="E46" s="9">
        <f>D46/C46</f>
        <v>1.2902458564904031E-3</v>
      </c>
      <c r="F46" s="8">
        <f t="shared" si="9"/>
        <v>0.33793529521821147</v>
      </c>
      <c r="G46" s="8">
        <f>F46/'Housekeeper summary'!$E$4</f>
        <v>0.63761376456266317</v>
      </c>
    </row>
    <row r="47" spans="2:7" x14ac:dyDescent="0.2">
      <c r="B47" t="str">
        <f>'Results Workspace'!D48</f>
        <v>8.3.a</v>
      </c>
      <c r="C47" s="8">
        <f>'Results Workspace'!E48</f>
        <v>26.837469100952148</v>
      </c>
      <c r="D47" s="8">
        <f>'Results Workspace'!F48</f>
        <v>4.2916191855643063E-2</v>
      </c>
      <c r="E47" s="9">
        <f t="shared" ref="E47:E55" si="10">D47/C47</f>
        <v>1.5991147188361538E-3</v>
      </c>
      <c r="F47" s="8">
        <f t="shared" ref="F47:F55" si="11">$C$29^($B$3-C47)</f>
        <v>0.53962253486574185</v>
      </c>
      <c r="G47" s="8">
        <f>F47/'Housekeeper summary'!$E$4</f>
        <v>1.0181557261617771</v>
      </c>
    </row>
    <row r="48" spans="2:7" x14ac:dyDescent="0.2">
      <c r="B48" t="str">
        <f>'Results Workspace'!D51</f>
        <v>0.4.a</v>
      </c>
      <c r="C48" s="8">
        <f>'Results Workspace'!E51</f>
        <v>26.977293014526367</v>
      </c>
      <c r="D48" s="8">
        <f>'Results Workspace'!F51</f>
        <v>4.4723677361025151E-2</v>
      </c>
      <c r="E48" s="9">
        <f t="shared" si="10"/>
        <v>1.6578267262376159E-3</v>
      </c>
      <c r="F48" s="8">
        <f t="shared" si="11"/>
        <v>0.49182184271374824</v>
      </c>
      <c r="G48" s="8">
        <f>F48/'Housekeeper summary'!$E$4</f>
        <v>0.92796574096933626</v>
      </c>
    </row>
    <row r="49" spans="2:7" x14ac:dyDescent="0.2">
      <c r="B49" t="str">
        <f>'Results Workspace'!D54</f>
        <v>0.5.a</v>
      </c>
      <c r="C49" s="8">
        <f>'Results Workspace'!E54</f>
        <v>27.387162526448567</v>
      </c>
      <c r="D49" s="8">
        <f>'Results Workspace'!F54</f>
        <v>0.12271913962135257</v>
      </c>
      <c r="E49" s="9">
        <f t="shared" si="10"/>
        <v>4.4809001116066401E-3</v>
      </c>
      <c r="F49" s="8">
        <f t="shared" si="11"/>
        <v>0.37473766868492964</v>
      </c>
      <c r="G49" s="8">
        <f>F49/'Housekeeper summary'!$E$4</f>
        <v>0.70705220506590494</v>
      </c>
    </row>
    <row r="50" spans="2:7" x14ac:dyDescent="0.2">
      <c r="B50" t="str">
        <f>'Results Workspace'!D57</f>
        <v>0.6.a</v>
      </c>
      <c r="C50" s="8">
        <f>'Results Workspace'!E57</f>
        <v>27.726927439371746</v>
      </c>
      <c r="D50" s="8">
        <f>'Results Workspace'!F57</f>
        <v>0.25018981377971283</v>
      </c>
      <c r="E50" s="9">
        <f t="shared" si="10"/>
        <v>9.0233515533512648E-3</v>
      </c>
      <c r="F50" s="8">
        <f t="shared" si="11"/>
        <v>0.29911866922454755</v>
      </c>
      <c r="G50" s="8">
        <f>F50/'Housekeeper summary'!$E$4</f>
        <v>0.56437484759348588</v>
      </c>
    </row>
    <row r="51" spans="2:7" x14ac:dyDescent="0.2">
      <c r="B51" t="str">
        <f>'Results Workspace'!D60</f>
        <v>0.7.a</v>
      </c>
      <c r="C51" s="8">
        <f>'Results Workspace'!E60</f>
        <v>29.197978337605793</v>
      </c>
      <c r="D51" s="8">
        <f>'Results Workspace'!F60</f>
        <v>0.1015090649140561</v>
      </c>
      <c r="E51" s="9">
        <f t="shared" si="10"/>
        <v>3.4765785404846546E-3</v>
      </c>
      <c r="F51" s="8">
        <f t="shared" si="11"/>
        <v>0.11273125029155262</v>
      </c>
      <c r="G51" s="8">
        <f>F51/'Housekeeper summary'!$E$4</f>
        <v>0.21270047224821248</v>
      </c>
    </row>
    <row r="52" spans="2:7" x14ac:dyDescent="0.2">
      <c r="B52" t="str">
        <f>'Results Workspace'!D63</f>
        <v>0.8.a</v>
      </c>
      <c r="C52" s="8">
        <f>'Results Workspace'!E63</f>
        <v>27.094268163045246</v>
      </c>
      <c r="D52" s="8">
        <f>'Results Workspace'!F63</f>
        <v>0.24513516680994044</v>
      </c>
      <c r="E52" s="9">
        <f t="shared" si="10"/>
        <v>9.0474917179821923E-3</v>
      </c>
      <c r="F52" s="8">
        <f t="shared" si="11"/>
        <v>0.455101338351727</v>
      </c>
      <c r="G52" s="8">
        <f>F52/'Housekeeper summary'!$E$4</f>
        <v>0.85868177047495653</v>
      </c>
    </row>
    <row r="53" spans="2:7" x14ac:dyDescent="0.2">
      <c r="B53" t="str">
        <f>'Results Workspace'!D66</f>
        <v>0.9.a</v>
      </c>
      <c r="C53" s="8">
        <f>'Results Workspace'!E66</f>
        <v>26.658961613972981</v>
      </c>
      <c r="D53" s="8">
        <f>'Results Workspace'!F66</f>
        <v>0.21475511164409808</v>
      </c>
      <c r="E53" s="9">
        <f t="shared" si="10"/>
        <v>8.0556442802909734E-3</v>
      </c>
      <c r="F53" s="8">
        <f t="shared" si="11"/>
        <v>0.60745876429750578</v>
      </c>
      <c r="G53" s="8">
        <f>F53/'Housekeeper summary'!$E$4</f>
        <v>1.1461486118820863</v>
      </c>
    </row>
    <row r="54" spans="2:7" x14ac:dyDescent="0.2">
      <c r="B54" t="str">
        <f>'Results Workspace'!D69</f>
        <v>2.4.a</v>
      </c>
      <c r="C54" s="8">
        <f>'Results Workspace'!E69</f>
        <v>27.698610305786133</v>
      </c>
      <c r="D54" s="8">
        <f>'Results Workspace'!F69</f>
        <v>0.17998242124672664</v>
      </c>
      <c r="E54" s="9">
        <f t="shared" si="10"/>
        <v>6.4978863293054454E-3</v>
      </c>
      <c r="F54" s="8">
        <f t="shared" si="11"/>
        <v>0.30479053956015684</v>
      </c>
      <c r="G54" s="8">
        <f>F54/'Housekeeper summary'!$E$4</f>
        <v>0.57507648973614489</v>
      </c>
    </row>
    <row r="55" spans="2:7" x14ac:dyDescent="0.2">
      <c r="B55" t="str">
        <f>'Results Workspace'!D72</f>
        <v>2.5.a</v>
      </c>
      <c r="C55" s="8">
        <f>'Results Workspace'!E72</f>
        <v>28.360830307006836</v>
      </c>
      <c r="D55" s="8">
        <f>'Results Workspace'!F72</f>
        <v>0.13774067624510183</v>
      </c>
      <c r="E55" s="9">
        <f t="shared" si="10"/>
        <v>4.8567222734332846E-3</v>
      </c>
      <c r="F55" s="8">
        <f t="shared" si="11"/>
        <v>0.19643580799222701</v>
      </c>
      <c r="G55" s="8">
        <f>F55/'Housekeeper summary'!$E$4</f>
        <v>0.37063359998533396</v>
      </c>
    </row>
    <row r="56" spans="2:7" x14ac:dyDescent="0.2">
      <c r="B56" t="str">
        <f>'Results Workspace'!D75</f>
        <v>2.6.a</v>
      </c>
      <c r="C56" s="8">
        <f>'Results Workspace'!E75</f>
        <v>27.652743021647137</v>
      </c>
      <c r="D56" s="8">
        <f>'Results Workspace'!F75</f>
        <v>0.10750596774569962</v>
      </c>
      <c r="E56" s="9">
        <f t="shared" ref="E56:E62" si="12">D56/C56</f>
        <v>3.8877144181154737E-3</v>
      </c>
      <c r="F56" s="8">
        <f t="shared" ref="F56:F62" si="13">$C$29^($B$3-C56)</f>
        <v>0.31420675520907132</v>
      </c>
      <c r="G56" s="8">
        <f>F56/'Housekeeper summary'!$E$4</f>
        <v>0.59284293435673829</v>
      </c>
    </row>
    <row r="57" spans="2:7" x14ac:dyDescent="0.2">
      <c r="B57" t="str">
        <f>'Results Workspace'!D78</f>
        <v>2.7.a</v>
      </c>
      <c r="C57" s="8">
        <f>'Results Workspace'!E78</f>
        <v>26.460830052693684</v>
      </c>
      <c r="D57" s="8">
        <f>'Results Workspace'!F78</f>
        <v>0.11986232741620499</v>
      </c>
      <c r="E57" s="9">
        <f t="shared" si="12"/>
        <v>4.5298022464719751E-3</v>
      </c>
      <c r="F57" s="8">
        <f t="shared" si="13"/>
        <v>0.69278277625405094</v>
      </c>
      <c r="G57" s="8">
        <f>F57/'Housekeeper summary'!$E$4</f>
        <v>1.3071373136868885</v>
      </c>
    </row>
    <row r="58" spans="2:7" x14ac:dyDescent="0.2">
      <c r="B58" t="str">
        <f>'Results Workspace'!D81</f>
        <v>2.8.a</v>
      </c>
      <c r="C58" s="8" t="e">
        <f>'Results Workspace'!E81</f>
        <v>#DIV/0!</v>
      </c>
      <c r="D58" s="8" t="e">
        <f>'Results Workspace'!F81</f>
        <v>#DIV/0!</v>
      </c>
      <c r="E58" s="9" t="e">
        <f t="shared" si="12"/>
        <v>#DIV/0!</v>
      </c>
      <c r="F58" s="8" t="e">
        <f t="shared" si="13"/>
        <v>#DIV/0!</v>
      </c>
      <c r="G58" s="8" t="e">
        <f>F58/'Housekeeper summary'!$E$4</f>
        <v>#DIV/0!</v>
      </c>
    </row>
    <row r="59" spans="2:7" x14ac:dyDescent="0.2">
      <c r="B59" t="str">
        <f>'Results Workspace'!D84</f>
        <v>2.9.a</v>
      </c>
      <c r="C59" s="8">
        <f>'Results Workspace'!E84</f>
        <v>27.380887349446613</v>
      </c>
      <c r="D59" s="8">
        <f>'Results Workspace'!F84</f>
        <v>0.18439177178645921</v>
      </c>
      <c r="E59" s="9">
        <f t="shared" si="12"/>
        <v>6.7343241814325607E-3</v>
      </c>
      <c r="F59" s="8">
        <f t="shared" si="13"/>
        <v>0.37630083676837184</v>
      </c>
      <c r="G59" s="8">
        <f>F59/'Housekeeper summary'!$E$4</f>
        <v>0.71000157880824877</v>
      </c>
    </row>
    <row r="60" spans="2:7" x14ac:dyDescent="0.2">
      <c r="B60" t="str">
        <f>'Results Workspace'!D87</f>
        <v>8.4.a</v>
      </c>
      <c r="C60" s="8" t="e">
        <f>'Results Workspace'!E87</f>
        <v>#DIV/0!</v>
      </c>
      <c r="D60" s="8" t="e">
        <f>'Results Workspace'!F87</f>
        <v>#DIV/0!</v>
      </c>
      <c r="E60" s="9" t="e">
        <f t="shared" si="12"/>
        <v>#DIV/0!</v>
      </c>
      <c r="F60" s="8" t="e">
        <f t="shared" si="13"/>
        <v>#DIV/0!</v>
      </c>
      <c r="G60" s="8" t="e">
        <f>F60/'Housekeeper summary'!$E$4</f>
        <v>#DIV/0!</v>
      </c>
    </row>
    <row r="61" spans="2:7" x14ac:dyDescent="0.2">
      <c r="B61" t="str">
        <f>'Results Workspace'!D90</f>
        <v>8.5.a</v>
      </c>
      <c r="C61" s="8">
        <f>'Results Workspace'!E90</f>
        <v>27.215468724568684</v>
      </c>
      <c r="D61" s="8">
        <f>'Results Workspace'!F90</f>
        <v>0.15057580701174608</v>
      </c>
      <c r="E61" s="9">
        <f t="shared" si="12"/>
        <v>5.5327287777268454E-3</v>
      </c>
      <c r="F61" s="8">
        <f t="shared" si="13"/>
        <v>0.41994373017633418</v>
      </c>
      <c r="G61" s="8">
        <f>F61/'Housekeeper summary'!$E$4</f>
        <v>0.79234666071006443</v>
      </c>
    </row>
    <row r="62" spans="2:7" x14ac:dyDescent="0.2">
      <c r="B62" t="str">
        <f>'Results Workspace'!D93</f>
        <v>8.6.a</v>
      </c>
      <c r="C62" s="8">
        <f>'Results Workspace'!E93</f>
        <v>27.079165140787762</v>
      </c>
      <c r="D62" s="8">
        <f>'Results Workspace'!F93</f>
        <v>4.7573926656236255E-2</v>
      </c>
      <c r="E62" s="9">
        <f t="shared" si="12"/>
        <v>1.7568461364629898E-3</v>
      </c>
      <c r="F62" s="8">
        <f t="shared" si="13"/>
        <v>0.45968378529615223</v>
      </c>
      <c r="G62" s="8">
        <f>F62/'Housekeeper summary'!$E$4</f>
        <v>0.86732789678519284</v>
      </c>
    </row>
    <row r="63" spans="2:7" x14ac:dyDescent="0.2">
      <c r="B63" t="str">
        <f>'Results Workspace'!D96</f>
        <v>8.7.a</v>
      </c>
      <c r="C63" s="8">
        <f>'Results Workspace'!E96</f>
        <v>27.154163360595703</v>
      </c>
      <c r="D63" s="8">
        <f>'Results Workspace'!F96</f>
        <v>0.14595648403902681</v>
      </c>
      <c r="E63" s="9">
        <f t="shared" ref="E63:E64" si="14">D63/C63</f>
        <v>5.3751051763513014E-3</v>
      </c>
      <c r="F63" s="8">
        <f t="shared" ref="F63:F64" si="15">$C$29^($B$3-C63)</f>
        <v>0.43737377238934017</v>
      </c>
      <c r="G63" s="8">
        <f>F63/'Housekeeper summary'!$E$4</f>
        <v>0.82523353281007572</v>
      </c>
    </row>
    <row r="64" spans="2:7" x14ac:dyDescent="0.2">
      <c r="B64" t="str">
        <f>'Results Workspace'!D99</f>
        <v>8.8.a</v>
      </c>
      <c r="C64" s="8">
        <f>'Results Workspace'!E99</f>
        <v>27.242184956868488</v>
      </c>
      <c r="D64" s="8">
        <f>'Results Workspace'!F99</f>
        <v>0.13361273033550675</v>
      </c>
      <c r="E64" s="9">
        <f t="shared" si="14"/>
        <v>4.9046260623753449E-3</v>
      </c>
      <c r="F64" s="8">
        <f t="shared" si="15"/>
        <v>0.41256686685878791</v>
      </c>
      <c r="G64" s="8">
        <f>F64/'Housekeeper summary'!$E$4</f>
        <v>0.77842805067695831</v>
      </c>
    </row>
    <row r="65" spans="2:7" x14ac:dyDescent="0.2">
      <c r="B65" t="str">
        <f>'Results Workspace'!D102</f>
        <v>8.9.a</v>
      </c>
      <c r="C65" s="8">
        <f>'Results Workspace'!E102</f>
        <v>27.585635503133137</v>
      </c>
      <c r="D65" s="8">
        <f>'Results Workspace'!F102</f>
        <v>0.14805801086778889</v>
      </c>
      <c r="E65" s="9">
        <f t="shared" ref="E65" si="16">D65/C65</f>
        <v>5.3672140651235918E-3</v>
      </c>
      <c r="F65" s="8">
        <f t="shared" ref="F65" si="17">$C$29^($B$3-C65)</f>
        <v>0.32851008894612715</v>
      </c>
      <c r="G65" s="8">
        <f>F65/'Housekeeper summary'!$E$4</f>
        <v>0.6198303565021267</v>
      </c>
    </row>
    <row r="66" spans="2:7" x14ac:dyDescent="0.2">
      <c r="C66" s="8"/>
      <c r="D66" s="8"/>
      <c r="E66" s="9"/>
      <c r="F66" s="8"/>
      <c r="G66" s="10"/>
    </row>
    <row r="67" spans="2:7" x14ac:dyDescent="0.2">
      <c r="C67" s="8"/>
      <c r="D67" s="8"/>
      <c r="E67" s="9"/>
      <c r="F67" s="8"/>
      <c r="G67" s="10"/>
    </row>
    <row r="68" spans="2:7" x14ac:dyDescent="0.2">
      <c r="C68" s="8"/>
      <c r="D68" s="8"/>
      <c r="E68" s="9"/>
      <c r="F68" s="8"/>
      <c r="G68" s="10"/>
    </row>
    <row r="69" spans="2:7" x14ac:dyDescent="0.2">
      <c r="C69" s="8"/>
      <c r="D69" s="8"/>
      <c r="E69" s="9"/>
      <c r="F69" s="8"/>
      <c r="G69" s="10"/>
    </row>
    <row r="70" spans="2:7" x14ac:dyDescent="0.2">
      <c r="C70" s="8"/>
      <c r="D70" s="8"/>
      <c r="E70" s="9"/>
      <c r="F70" s="8"/>
      <c r="G70" s="10"/>
    </row>
    <row r="71" spans="2:7" x14ac:dyDescent="0.2">
      <c r="C71" s="8"/>
      <c r="D71" s="8"/>
      <c r="E71" s="9"/>
      <c r="F71" s="8"/>
      <c r="G71" s="10"/>
    </row>
    <row r="72" spans="2:7" x14ac:dyDescent="0.2">
      <c r="C72" s="8"/>
      <c r="D72" s="8"/>
      <c r="E72" s="9"/>
      <c r="F72" s="8"/>
      <c r="G72" s="10"/>
    </row>
    <row r="73" spans="2:7" x14ac:dyDescent="0.2">
      <c r="C73" s="8"/>
      <c r="D73" s="8"/>
      <c r="E73" s="9"/>
      <c r="F73" s="8"/>
      <c r="G73" s="10"/>
    </row>
    <row r="74" spans="2:7" x14ac:dyDescent="0.2">
      <c r="C74" s="8"/>
      <c r="D74" s="8"/>
      <c r="E74" s="9"/>
      <c r="F74" s="8"/>
      <c r="G74" s="10"/>
    </row>
    <row r="75" spans="2:7" x14ac:dyDescent="0.2">
      <c r="C75" s="8"/>
      <c r="D75" s="8"/>
      <c r="E75" s="9"/>
      <c r="F75" s="8"/>
      <c r="G75" s="10"/>
    </row>
    <row r="76" spans="2:7" x14ac:dyDescent="0.2">
      <c r="C76" s="8"/>
      <c r="D76" s="8"/>
      <c r="E76" s="9"/>
      <c r="F76" s="8"/>
      <c r="G76" s="10"/>
    </row>
    <row r="77" spans="2:7" x14ac:dyDescent="0.2">
      <c r="C77" s="8"/>
      <c r="D77" s="8"/>
      <c r="E77" s="9"/>
      <c r="F77" s="8"/>
      <c r="G77" s="10"/>
    </row>
    <row r="78" spans="2:7" x14ac:dyDescent="0.2">
      <c r="C78" s="8"/>
      <c r="D78" s="8"/>
      <c r="E78" s="9"/>
      <c r="F78" s="10"/>
      <c r="G78" s="10"/>
    </row>
    <row r="79" spans="2:7" x14ac:dyDescent="0.2">
      <c r="C79" s="8"/>
      <c r="D79" s="8"/>
      <c r="E79" s="9"/>
      <c r="F79" s="10"/>
      <c r="G79" s="10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topLeftCell="A28" workbookViewId="0">
      <selection activeCell="J56" sqref="J56"/>
    </sheetView>
  </sheetViews>
  <sheetFormatPr defaultRowHeight="12.75" x14ac:dyDescent="0.2"/>
  <cols>
    <col min="1" max="1" width="11" customWidth="1"/>
    <col min="2" max="2" width="17.28515625" customWidth="1"/>
    <col min="3" max="5" width="11" customWidth="1"/>
    <col min="6" max="6" width="20.425781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2" si="0">B33</f>
        <v>STD 10a</v>
      </c>
      <c r="B2">
        <f t="shared" si="0"/>
        <v>26.394093831380207</v>
      </c>
      <c r="C2">
        <f t="shared" si="0"/>
        <v>3.6956664924846609E-2</v>
      </c>
      <c r="D2" s="9">
        <f>C2/B2</f>
        <v>1.4001869191246283E-3</v>
      </c>
      <c r="E2">
        <v>0.1</v>
      </c>
      <c r="F2" s="8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27.180834452311199</v>
      </c>
      <c r="C3">
        <f t="shared" si="1"/>
        <v>7.2766424320861806E-2</v>
      </c>
      <c r="D3" s="9">
        <f t="shared" ref="D3:D7" si="2">C3/B3</f>
        <v>2.6771225308969294E-3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28.20769437154134</v>
      </c>
      <c r="C4">
        <f t="shared" si="4"/>
        <v>0.12668999761299254</v>
      </c>
      <c r="D4" s="9">
        <f t="shared" si="2"/>
        <v>4.4913276478495074E-3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29.255451202392578</v>
      </c>
      <c r="C5">
        <f t="shared" si="5"/>
        <v>8.2444979349606415E-2</v>
      </c>
      <c r="D5" s="9">
        <f t="shared" si="2"/>
        <v>2.8181065736857915E-3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30.396799723307293</v>
      </c>
      <c r="C6">
        <f t="shared" si="6"/>
        <v>9.7930669974125861E-2</v>
      </c>
      <c r="D6" s="9">
        <f t="shared" si="2"/>
        <v>3.2217427777120815E-3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31.583166122436523</v>
      </c>
      <c r="C7">
        <f t="shared" si="7"/>
        <v>0.13457537063150105</v>
      </c>
      <c r="D7" s="9">
        <f t="shared" si="2"/>
        <v>4.2609841619361708E-3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-3.477680404600981</v>
      </c>
    </row>
    <row r="29" spans="1:7" x14ac:dyDescent="0.2">
      <c r="B29" s="12" t="s">
        <v>447</v>
      </c>
      <c r="C29" s="12">
        <f>10^(-1/C28)</f>
        <v>1.9388668578561559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Workspace'!D123</f>
        <v>Blank 1.a</v>
      </c>
      <c r="C32" s="8">
        <f>'Results Workspace'!E123</f>
        <v>40.1</v>
      </c>
      <c r="D32" s="8">
        <f>'Results Workspace'!F123</f>
        <v>0</v>
      </c>
      <c r="E32" s="9">
        <f>D32/C32</f>
        <v>0</v>
      </c>
      <c r="F32" s="8">
        <f>$C$29^($B$3-C32)</f>
        <v>1.9280573693705095E-4</v>
      </c>
      <c r="G32" s="8"/>
    </row>
    <row r="33" spans="2:7" x14ac:dyDescent="0.2">
      <c r="B33" t="str">
        <f>'Results Workspace'!D126</f>
        <v>STD 10a</v>
      </c>
      <c r="C33" s="8">
        <f>'Results Workspace'!E126</f>
        <v>26.394093831380207</v>
      </c>
      <c r="D33" s="8">
        <f>'Results Workspace'!F126</f>
        <v>3.6956664924846609E-2</v>
      </c>
      <c r="E33" s="9">
        <f>D33/C33</f>
        <v>1.4001869191246283E-3</v>
      </c>
      <c r="F33" s="8">
        <f>$C$29^($B$3-C33)</f>
        <v>1.6835486928379877</v>
      </c>
      <c r="G33" s="8"/>
    </row>
    <row r="34" spans="2:7" x14ac:dyDescent="0.2">
      <c r="B34" t="str">
        <f>'Results Workspace'!D129</f>
        <v>STD 20a</v>
      </c>
      <c r="C34" s="8">
        <f>'Results Workspace'!E129</f>
        <v>27.180834452311199</v>
      </c>
      <c r="D34" s="8">
        <f>'Results Workspace'!F129</f>
        <v>7.2766424320861806E-2</v>
      </c>
      <c r="E34" s="9">
        <f>D34/C34</f>
        <v>2.6771225308969294E-3</v>
      </c>
      <c r="F34" s="8">
        <f>$C$29^($B$3-C34)</f>
        <v>1</v>
      </c>
      <c r="G34" s="8"/>
    </row>
    <row r="35" spans="2:7" x14ac:dyDescent="0.2">
      <c r="B35" t="str">
        <f>'Results Workspace'!D132</f>
        <v>STD 40a</v>
      </c>
      <c r="C35" s="8">
        <f>'Results Workspace'!E132</f>
        <v>28.20769437154134</v>
      </c>
      <c r="D35" s="8">
        <f>'Results Workspace'!F132</f>
        <v>0.12668999761299254</v>
      </c>
      <c r="E35" s="9">
        <f>D35/C35</f>
        <v>4.4913276478495074E-3</v>
      </c>
      <c r="F35" s="8">
        <f>$C$29^($B$3-C35)</f>
        <v>0.50667385790826092</v>
      </c>
      <c r="G35" s="8"/>
    </row>
    <row r="36" spans="2:7" x14ac:dyDescent="0.2">
      <c r="B36" t="str">
        <f>'Results Workspace'!D135</f>
        <v>STD 80a</v>
      </c>
      <c r="C36" s="8">
        <f>'Results Workspace'!E135</f>
        <v>29.255451202392578</v>
      </c>
      <c r="D36" s="8">
        <f>'Results Workspace'!F135</f>
        <v>8.2444979349606415E-2</v>
      </c>
      <c r="E36" s="9">
        <f>D36/C36</f>
        <v>2.8181065736857915E-3</v>
      </c>
      <c r="F36" s="8">
        <f>$C$29^($B$3-C36)</f>
        <v>0.25319092159813478</v>
      </c>
      <c r="G36" s="8"/>
    </row>
    <row r="37" spans="2:7" x14ac:dyDescent="0.2">
      <c r="B37" t="str">
        <f>'Results Workspace'!D138</f>
        <v>STD 160a</v>
      </c>
      <c r="C37" s="8">
        <f>'Results Workspace'!E138</f>
        <v>30.396799723307293</v>
      </c>
      <c r="D37" s="8">
        <f>'Results Workspace'!F138</f>
        <v>9.7930669974125861E-2</v>
      </c>
      <c r="E37" s="9">
        <f t="shared" ref="E37:E45" si="8">D37/C37</f>
        <v>3.2217427777120815E-3</v>
      </c>
      <c r="F37" s="8">
        <f t="shared" ref="F37:F55" si="9">$C$29^($B$3-C37)</f>
        <v>0.11892020791971274</v>
      </c>
      <c r="G37" s="8"/>
    </row>
    <row r="38" spans="2:7" x14ac:dyDescent="0.2">
      <c r="B38" t="str">
        <f>'Results Workspace'!D141</f>
        <v>STD 320a</v>
      </c>
      <c r="C38" s="8">
        <f>'Results Workspace'!E141</f>
        <v>31.583166122436523</v>
      </c>
      <c r="D38" s="8">
        <f>'Results Workspace'!F141</f>
        <v>0.13457537063150105</v>
      </c>
      <c r="E38" s="9">
        <f t="shared" si="8"/>
        <v>4.2609841619361708E-3</v>
      </c>
      <c r="F38" s="8">
        <f t="shared" si="9"/>
        <v>5.4214866146393773E-2</v>
      </c>
      <c r="G38" s="8"/>
    </row>
    <row r="39" spans="2:7" x14ac:dyDescent="0.2">
      <c r="B39" t="str">
        <f>'Results Workspace'!D144</f>
        <v>0.1.a</v>
      </c>
      <c r="C39" s="8">
        <f>'Results Workspace'!E144</f>
        <v>28.052827199300129</v>
      </c>
      <c r="D39" s="8">
        <f>'Results Workspace'!F144</f>
        <v>0.12844740275608232</v>
      </c>
      <c r="E39" s="9">
        <f t="shared" si="8"/>
        <v>4.5787685442017362E-3</v>
      </c>
      <c r="F39" s="8">
        <f t="shared" si="9"/>
        <v>0.56138427173213068</v>
      </c>
      <c r="G39" s="8">
        <f>F39/'Housekeeper summary'!$E$4</f>
        <v>1.059215607041756</v>
      </c>
    </row>
    <row r="40" spans="2:7" x14ac:dyDescent="0.2">
      <c r="B40" t="str">
        <f>'Results Workspace'!D147</f>
        <v>0.2.a</v>
      </c>
      <c r="C40" s="8">
        <f>'Results Workspace'!E147</f>
        <v>28.274887084960938</v>
      </c>
      <c r="D40" s="8">
        <f>'Results Workspace'!F147</f>
        <v>9.3967907682345378E-2</v>
      </c>
      <c r="E40" s="9">
        <f t="shared" si="8"/>
        <v>3.3233698652797008E-3</v>
      </c>
      <c r="F40" s="8">
        <f t="shared" si="9"/>
        <v>0.48462673378712107</v>
      </c>
      <c r="G40" s="8">
        <f>F40/'Housekeeper summary'!$E$4</f>
        <v>0.914390063749285</v>
      </c>
    </row>
    <row r="41" spans="2:7" x14ac:dyDescent="0.2">
      <c r="B41" t="str">
        <f>'Results Workspace'!D150</f>
        <v>0.3.a</v>
      </c>
      <c r="C41" s="8">
        <f>'Results Workspace'!E150</f>
        <v>28.305674870808918</v>
      </c>
      <c r="D41" s="8">
        <f>'Results Workspace'!F150</f>
        <v>2.5372008216622239E-2</v>
      </c>
      <c r="E41" s="9">
        <f t="shared" si="8"/>
        <v>8.9635765027414657E-4</v>
      </c>
      <c r="F41" s="8">
        <f t="shared" si="9"/>
        <v>0.47484776901421427</v>
      </c>
      <c r="G41" s="8">
        <f>F41/'Housekeeper summary'!$E$4</f>
        <v>0.8959391868192722</v>
      </c>
    </row>
    <row r="42" spans="2:7" x14ac:dyDescent="0.2">
      <c r="B42" t="str">
        <f>'Results Workspace'!D153</f>
        <v>2.1.a</v>
      </c>
      <c r="C42" s="8">
        <f>'Results Workspace'!E153</f>
        <v>28.260671615600586</v>
      </c>
      <c r="D42" s="8">
        <f>'Results Workspace'!F153</f>
        <v>4.3654649828796063E-2</v>
      </c>
      <c r="E42" s="9">
        <f t="shared" si="8"/>
        <v>1.5447138136907412E-3</v>
      </c>
      <c r="F42" s="8">
        <f t="shared" si="9"/>
        <v>0.48920962986897432</v>
      </c>
      <c r="G42" s="8">
        <f>F42/'Housekeeper summary'!$E$4</f>
        <v>0.92303703748863075</v>
      </c>
    </row>
    <row r="43" spans="2:7" x14ac:dyDescent="0.2">
      <c r="B43" t="str">
        <f>'Results Workspace'!D156</f>
        <v>2.2.a</v>
      </c>
      <c r="C43" s="8">
        <f>'Results Workspace'!E156</f>
        <v>28.289199193318684</v>
      </c>
      <c r="D43" s="8">
        <f>'Results Workspace'!F156</f>
        <v>0.12373897954593933</v>
      </c>
      <c r="E43" s="9">
        <f t="shared" si="8"/>
        <v>4.3740714857408861E-3</v>
      </c>
      <c r="F43" s="8">
        <f t="shared" si="9"/>
        <v>0.4800560527031642</v>
      </c>
      <c r="G43" s="8">
        <f>F43/'Housekeeper summary'!$E$4</f>
        <v>0.90576613717578147</v>
      </c>
    </row>
    <row r="44" spans="2:7" x14ac:dyDescent="0.2">
      <c r="B44" t="str">
        <f>'Results Workspace'!D159</f>
        <v>2.3.a</v>
      </c>
      <c r="C44" s="8">
        <f>'Results Workspace'!E159</f>
        <v>28.075366973876953</v>
      </c>
      <c r="D44" s="8">
        <f>'Results Workspace'!F159</f>
        <v>9.914657822502515E-2</v>
      </c>
      <c r="E44" s="9">
        <f t="shared" si="8"/>
        <v>3.5314437142452038E-3</v>
      </c>
      <c r="F44" s="8">
        <f t="shared" si="9"/>
        <v>0.55306856382077818</v>
      </c>
      <c r="G44" s="8">
        <f>F44/'Housekeeper summary'!$E$4</f>
        <v>1.0435255921146758</v>
      </c>
    </row>
    <row r="45" spans="2:7" x14ac:dyDescent="0.2">
      <c r="B45" t="str">
        <f>'Results Workspace'!D162</f>
        <v>8.1.a</v>
      </c>
      <c r="C45" s="8">
        <f>'Results Workspace'!E162</f>
        <v>28.259968439737957</v>
      </c>
      <c r="D45" s="8">
        <f>'Results Workspace'!F162</f>
        <v>5.9513891345527739E-3</v>
      </c>
      <c r="E45" s="9">
        <f t="shared" si="8"/>
        <v>2.1059433053662529E-4</v>
      </c>
      <c r="F45" s="8">
        <f t="shared" si="9"/>
        <v>0.48943744684073076</v>
      </c>
      <c r="G45" s="8">
        <f>F45/'Housekeeper summary'!$E$4</f>
        <v>0.92346688083156747</v>
      </c>
    </row>
    <row r="46" spans="2:7" x14ac:dyDescent="0.2">
      <c r="B46" t="str">
        <f>'Results Workspace'!D165</f>
        <v>8.2.a</v>
      </c>
      <c r="C46" s="8">
        <f>'Results Workspace'!E165</f>
        <v>28.362014770507813</v>
      </c>
      <c r="D46" s="8">
        <f>'Results Workspace'!F165</f>
        <v>8.5022394680049282E-2</v>
      </c>
      <c r="E46" s="9">
        <f>D46/C46</f>
        <v>2.9977558141764901E-3</v>
      </c>
      <c r="F46" s="8">
        <f t="shared" si="9"/>
        <v>0.45746089692147363</v>
      </c>
      <c r="G46" s="8">
        <f>F46/'Housekeeper summary'!$E$4</f>
        <v>0.8631337677763653</v>
      </c>
    </row>
    <row r="47" spans="2:7" x14ac:dyDescent="0.2">
      <c r="B47" t="str">
        <f>'Results Workspace'!D168</f>
        <v>8.3.a</v>
      </c>
      <c r="C47" s="8">
        <f>'Results Workspace'!E168</f>
        <v>28.074986775716145</v>
      </c>
      <c r="D47" s="8">
        <f>'Results Workspace'!F168</f>
        <v>3.834266242571345E-2</v>
      </c>
      <c r="E47" s="9">
        <f t="shared" ref="E47:E55" si="10">D47/C47</f>
        <v>1.3657232586438287E-3</v>
      </c>
      <c r="F47" s="8">
        <f t="shared" si="9"/>
        <v>0.55320780563394334</v>
      </c>
      <c r="G47" s="8">
        <f>F47/'Housekeeper summary'!$E$4</f>
        <v>1.0437883125168741</v>
      </c>
    </row>
    <row r="48" spans="2:7" x14ac:dyDescent="0.2">
      <c r="B48" t="str">
        <f>'Results Workspace'!D171</f>
        <v>0.4.a</v>
      </c>
      <c r="C48" s="8">
        <f>'Results Workspace'!E171</f>
        <v>27.852994283040363</v>
      </c>
      <c r="D48" s="8">
        <f>'Results Workspace'!F171</f>
        <v>0.17856450416987951</v>
      </c>
      <c r="E48" s="9">
        <f t="shared" si="10"/>
        <v>6.4109625828849253E-3</v>
      </c>
      <c r="F48" s="8">
        <f t="shared" si="9"/>
        <v>0.6407989533004218</v>
      </c>
      <c r="G48" s="8">
        <f>F48/'Housekeeper summary'!$E$4</f>
        <v>1.2090546288687203</v>
      </c>
    </row>
    <row r="49" spans="2:7" x14ac:dyDescent="0.2">
      <c r="B49" t="str">
        <f>'Results Workspace'!D174</f>
        <v>0.5.a</v>
      </c>
      <c r="C49" s="8">
        <f>'Results Workspace'!E174</f>
        <v>28.186541875203449</v>
      </c>
      <c r="D49" s="8">
        <f>'Results Workspace'!F174</f>
        <v>0.11928481551521128</v>
      </c>
      <c r="E49" s="9">
        <f t="shared" si="10"/>
        <v>4.2319776595279935E-3</v>
      </c>
      <c r="F49" s="8">
        <f t="shared" si="9"/>
        <v>0.51381982273799542</v>
      </c>
      <c r="G49" s="8">
        <f>F49/'Housekeeper summary'!$E$4</f>
        <v>0.96947136365659514</v>
      </c>
    </row>
    <row r="50" spans="2:7" x14ac:dyDescent="0.2">
      <c r="B50" t="str">
        <f>'Results Workspace'!D177</f>
        <v>0.6.a</v>
      </c>
      <c r="C50" s="8">
        <f>'Results Workspace'!E177</f>
        <v>28.728039423624676</v>
      </c>
      <c r="D50" s="8">
        <f>'Results Workspace'!F177</f>
        <v>0.13139386079101906</v>
      </c>
      <c r="E50" s="9">
        <f t="shared" si="10"/>
        <v>4.5737148593219534E-3</v>
      </c>
      <c r="F50" s="8">
        <f t="shared" si="9"/>
        <v>0.35900816415482179</v>
      </c>
      <c r="G50" s="8">
        <f>F50/'Housekeeper summary'!$E$4</f>
        <v>0.67737389463173914</v>
      </c>
    </row>
    <row r="51" spans="2:7" x14ac:dyDescent="0.2">
      <c r="B51" t="str">
        <f>'Results Workspace'!D180</f>
        <v>0.7.a</v>
      </c>
      <c r="C51" s="8">
        <f>'Results Workspace'!E180</f>
        <v>30.690798441569012</v>
      </c>
      <c r="D51" s="8">
        <f>'Results Workspace'!F180</f>
        <v>0.1830233736003572</v>
      </c>
      <c r="E51" s="9">
        <f t="shared" si="10"/>
        <v>5.9634608056485759E-3</v>
      </c>
      <c r="F51" s="8">
        <f t="shared" si="9"/>
        <v>9.7885174688997878E-2</v>
      </c>
      <c r="G51" s="8">
        <f>F51/'Housekeeper summary'!$E$4</f>
        <v>0.1846890088471658</v>
      </c>
    </row>
    <row r="52" spans="2:7" x14ac:dyDescent="0.2">
      <c r="B52" t="str">
        <f>'Results Workspace'!D183</f>
        <v>0.8.a</v>
      </c>
      <c r="C52" s="8">
        <f>'Results Workspace'!E183</f>
        <v>27.640660285949707</v>
      </c>
      <c r="D52" s="8">
        <f>'Results Workspace'!F183</f>
        <v>2.8723716735839844E-2</v>
      </c>
      <c r="E52" s="9">
        <f t="shared" si="10"/>
        <v>1.0391834507094129E-3</v>
      </c>
      <c r="F52" s="8">
        <f t="shared" si="9"/>
        <v>0.73752714126258923</v>
      </c>
      <c r="G52" s="8">
        <f>F52/'Housekeeper summary'!$E$4</f>
        <v>1.3915606438916777</v>
      </c>
    </row>
    <row r="53" spans="2:7" x14ac:dyDescent="0.2">
      <c r="B53" t="str">
        <f>'Results Workspace'!D186</f>
        <v>0.9.a</v>
      </c>
      <c r="C53" s="8">
        <f>'Results Workspace'!E186</f>
        <v>27.692381540934246</v>
      </c>
      <c r="D53" s="8">
        <f>'Results Workspace'!F186</f>
        <v>0.19973844922101353</v>
      </c>
      <c r="E53" s="9">
        <f t="shared" si="10"/>
        <v>7.212758098315405E-3</v>
      </c>
      <c r="F53" s="8">
        <f t="shared" si="9"/>
        <v>0.71269820400218187</v>
      </c>
      <c r="G53" s="8">
        <f>F53/'Housekeeper summary'!$E$4</f>
        <v>1.3447135924569469</v>
      </c>
    </row>
    <row r="54" spans="2:7" x14ac:dyDescent="0.2">
      <c r="B54" t="str">
        <f>'Results Workspace'!D189</f>
        <v>2.4.a</v>
      </c>
      <c r="C54" s="8">
        <f>'Results Workspace'!E189</f>
        <v>28.468692779541016</v>
      </c>
      <c r="D54" s="8">
        <f>'Results Workspace'!F189</f>
        <v>7.4674401099438029E-2</v>
      </c>
      <c r="E54" s="9">
        <f t="shared" si="10"/>
        <v>2.6230358266784446E-3</v>
      </c>
      <c r="F54" s="8">
        <f t="shared" si="9"/>
        <v>0.42626426932195333</v>
      </c>
      <c r="G54" s="8">
        <f>F54/'Housekeeper summary'!$E$4</f>
        <v>0.80427220626783646</v>
      </c>
    </row>
    <row r="55" spans="2:7" x14ac:dyDescent="0.2">
      <c r="B55" t="str">
        <f>'Results Workspace'!D192</f>
        <v>2.5.a</v>
      </c>
      <c r="C55" s="8">
        <f>'Results Workspace'!E192</f>
        <v>29.539459228515625</v>
      </c>
      <c r="D55" s="8">
        <f>'Results Workspace'!F192</f>
        <v>0.1697998613854626</v>
      </c>
      <c r="E55" s="9">
        <f t="shared" si="10"/>
        <v>5.7482386550105824E-3</v>
      </c>
      <c r="F55" s="8">
        <f t="shared" si="9"/>
        <v>0.20978874907320011</v>
      </c>
      <c r="G55" s="8">
        <f>F55/'Housekeeper summary'!$E$4</f>
        <v>0.3958278284400002</v>
      </c>
    </row>
    <row r="56" spans="2:7" x14ac:dyDescent="0.2">
      <c r="B56" t="str">
        <f>'Results Workspace'!D195</f>
        <v>2.6.a</v>
      </c>
      <c r="C56" s="8">
        <f>'Results Workspace'!E195</f>
        <v>28.296377182006836</v>
      </c>
      <c r="D56" s="8">
        <f>'Results Workspace'!F195</f>
        <v>7.0642089734572672E-2</v>
      </c>
      <c r="E56" s="9">
        <f t="shared" ref="E56:E62" si="11">D56/C56</f>
        <v>2.4965065061223713E-3</v>
      </c>
      <c r="F56" s="8">
        <f t="shared" ref="F56:F62" si="12">$C$29^($B$3-C56)</f>
        <v>0.47777996422447905</v>
      </c>
      <c r="G56" s="8">
        <f>F56/'Housekeeper summary'!$E$4</f>
        <v>0.90147163061222457</v>
      </c>
    </row>
    <row r="57" spans="2:7" x14ac:dyDescent="0.2">
      <c r="B57" t="str">
        <f>'Results Workspace'!D198</f>
        <v>2.7.a</v>
      </c>
      <c r="C57" s="8">
        <f>'Results Workspace'!E198</f>
        <v>27.34409459431966</v>
      </c>
      <c r="D57" s="8">
        <f>'Results Workspace'!F198</f>
        <v>8.2032943161460273E-2</v>
      </c>
      <c r="E57" s="9">
        <f t="shared" si="11"/>
        <v>3.0000241141098683E-3</v>
      </c>
      <c r="F57" s="8">
        <f t="shared" si="12"/>
        <v>0.89754219528461698</v>
      </c>
      <c r="G57" s="8">
        <f>F57/'Housekeeper summary'!$E$4</f>
        <v>1.6934758401596546</v>
      </c>
    </row>
    <row r="58" spans="2:7" x14ac:dyDescent="0.2">
      <c r="B58" t="str">
        <f>'Results Workspace'!D201</f>
        <v>2.8.a</v>
      </c>
      <c r="C58" s="8" t="e">
        <f>'Results Workspace'!E201</f>
        <v>#DIV/0!</v>
      </c>
      <c r="D58" s="8" t="e">
        <f>'Results Workspace'!F201</f>
        <v>#DIV/0!</v>
      </c>
      <c r="E58" s="9" t="e">
        <f t="shared" si="11"/>
        <v>#DIV/0!</v>
      </c>
      <c r="F58" s="8" t="e">
        <f t="shared" si="12"/>
        <v>#DIV/0!</v>
      </c>
      <c r="G58" s="8" t="e">
        <f>F58/'Housekeeper summary'!$E$4</f>
        <v>#DIV/0!</v>
      </c>
    </row>
    <row r="59" spans="2:7" x14ac:dyDescent="0.2">
      <c r="B59" t="str">
        <f>'Results Workspace'!D204</f>
        <v>2.9.a</v>
      </c>
      <c r="C59" s="8">
        <f>'Results Workspace'!E204</f>
        <v>28.124680836995442</v>
      </c>
      <c r="D59" s="8">
        <f>'Results Workspace'!F204</f>
        <v>9.0979567246551429E-2</v>
      </c>
      <c r="E59" s="9">
        <f t="shared" si="11"/>
        <v>3.2348657669699185E-3</v>
      </c>
      <c r="F59" s="8">
        <f t="shared" si="12"/>
        <v>0.53530200737543254</v>
      </c>
      <c r="G59" s="8">
        <f>F59/'Housekeeper summary'!$E$4</f>
        <v>1.0100037875008161</v>
      </c>
    </row>
    <row r="60" spans="2:7" x14ac:dyDescent="0.2">
      <c r="B60" t="str">
        <f>'Results Workspace'!D207</f>
        <v>8.4.a</v>
      </c>
      <c r="C60" s="8" t="e">
        <f>'Results Workspace'!E207</f>
        <v>#DIV/0!</v>
      </c>
      <c r="D60" s="8" t="e">
        <f>'Results Workspace'!F207</f>
        <v>#DIV/0!</v>
      </c>
      <c r="E60" s="9" t="e">
        <f t="shared" si="11"/>
        <v>#DIV/0!</v>
      </c>
      <c r="F60" s="8" t="e">
        <f t="shared" si="12"/>
        <v>#DIV/0!</v>
      </c>
      <c r="G60" s="8" t="e">
        <f>F60/'Housekeeper summary'!$E$4</f>
        <v>#DIV/0!</v>
      </c>
    </row>
    <row r="61" spans="2:7" x14ac:dyDescent="0.2">
      <c r="B61" t="str">
        <f>'Results Workspace'!D210</f>
        <v>8.5.a</v>
      </c>
      <c r="C61" s="8">
        <f>'Results Workspace'!E210</f>
        <v>28.102909088134766</v>
      </c>
      <c r="D61" s="8">
        <f>'Results Workspace'!F210</f>
        <v>1.9520190269150587E-2</v>
      </c>
      <c r="E61" s="9">
        <f t="shared" si="11"/>
        <v>6.9459678383944031E-4</v>
      </c>
      <c r="F61" s="8">
        <f t="shared" si="12"/>
        <v>0.5430743543450961</v>
      </c>
      <c r="G61" s="8">
        <f>F61/'Housekeeper summary'!$E$4</f>
        <v>1.0246685931039548</v>
      </c>
    </row>
    <row r="62" spans="2:7" x14ac:dyDescent="0.2">
      <c r="B62" t="str">
        <f>'Results Workspace'!D213</f>
        <v>8.6.a</v>
      </c>
      <c r="C62" s="8">
        <f>'Results Workspace'!E213</f>
        <v>27.943627675374348</v>
      </c>
      <c r="D62" s="8">
        <f>'Results Workspace'!F213</f>
        <v>0.11665001902572192</v>
      </c>
      <c r="E62" s="9">
        <f t="shared" si="11"/>
        <v>4.1744765705034473E-3</v>
      </c>
      <c r="F62" s="8">
        <f t="shared" si="12"/>
        <v>0.6034764739810512</v>
      </c>
      <c r="G62" s="8">
        <f>F62/'Housekeeper summary'!$E$4</f>
        <v>1.1386348565680211</v>
      </c>
    </row>
    <row r="63" spans="2:7" x14ac:dyDescent="0.2">
      <c r="B63" t="str">
        <f>'Results Workspace'!D216</f>
        <v>8.7.a</v>
      </c>
      <c r="C63" s="8">
        <f>'Results Workspace'!E216</f>
        <v>27.907826105753582</v>
      </c>
      <c r="D63" s="8">
        <f>'Results Workspace'!F216</f>
        <v>3.323831561619011E-2</v>
      </c>
      <c r="E63" s="9">
        <f t="shared" ref="E63" si="13">D63/C63</f>
        <v>1.191003394181877E-3</v>
      </c>
      <c r="F63" s="8">
        <f t="shared" ref="F63" si="14">$C$29^($B$3-C63)</f>
        <v>0.61795238598771307</v>
      </c>
      <c r="G63" s="8">
        <f>F63/'Housekeeper summary'!$E$4</f>
        <v>1.1659478980900246</v>
      </c>
    </row>
    <row r="64" spans="2:7" x14ac:dyDescent="0.2">
      <c r="B64" t="str">
        <f>'Results Workspace'!D219</f>
        <v>8.8.a</v>
      </c>
      <c r="C64" s="8">
        <f>'Results Workspace'!E219</f>
        <v>27.695595423380535</v>
      </c>
      <c r="D64" s="8">
        <f>'Results Workspace'!F219</f>
        <v>0.11813985165000779</v>
      </c>
      <c r="E64" s="8">
        <f>'Results Workspace'!G193</f>
        <v>0</v>
      </c>
      <c r="F64" s="8">
        <f t="shared" ref="F64:F65" si="15">$C$29^($B$3-C64)</f>
        <v>0.71118324918072873</v>
      </c>
      <c r="G64" s="8">
        <f>F64/'Housekeeper summary'!$E$4</f>
        <v>1.3418551871334503</v>
      </c>
    </row>
    <row r="65" spans="2:7" x14ac:dyDescent="0.2">
      <c r="B65" t="str">
        <f>'Results Workspace'!D222</f>
        <v>8.9.a</v>
      </c>
      <c r="C65" s="8">
        <f>'Results Workspace'!E222</f>
        <v>28.242525100708008</v>
      </c>
      <c r="D65" s="8">
        <f>'Results Workspace'!F222</f>
        <v>0.10070585459276103</v>
      </c>
      <c r="E65" s="8">
        <f>'Results Workspace'!G194</f>
        <v>0</v>
      </c>
      <c r="F65" s="8">
        <f t="shared" si="15"/>
        <v>0.49512287463944621</v>
      </c>
      <c r="G65" s="8">
        <f>F65/'Housekeeper summary'!$E$4</f>
        <v>0.93419410309329465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C60" sqref="C60:G60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7" si="0">B33</f>
        <v>STD 10a</v>
      </c>
      <c r="B2">
        <f t="shared" si="0"/>
        <v>26.867812474568684</v>
      </c>
      <c r="C2">
        <f t="shared" si="0"/>
        <v>3.7377323610324954E-2</v>
      </c>
      <c r="D2" s="9">
        <f>C2/B2</f>
        <v>1.3911561890534961E-3</v>
      </c>
      <c r="E2">
        <v>0.1</v>
      </c>
      <c r="F2" s="8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27.944015502929688</v>
      </c>
      <c r="C3">
        <f t="shared" si="0"/>
        <v>5.6324005126953125E-3</v>
      </c>
      <c r="D3" s="9">
        <f t="shared" ref="D3:D7" si="1">C3/B3</f>
        <v>2.0156016990846589E-4</v>
      </c>
      <c r="E3">
        <v>0.05</v>
      </c>
      <c r="F3" s="8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28.782270431518555</v>
      </c>
      <c r="C4">
        <f t="shared" si="0"/>
        <v>2.4351901004035462E-2</v>
      </c>
      <c r="D4" s="9">
        <f t="shared" si="1"/>
        <v>8.4607296919038269E-4</v>
      </c>
      <c r="E4">
        <v>2.5000000000000001E-2</v>
      </c>
      <c r="F4" s="8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29.613500595092773</v>
      </c>
      <c r="C5">
        <f t="shared" si="0"/>
        <v>0.25298850671984929</v>
      </c>
      <c r="D5" s="9">
        <f t="shared" si="1"/>
        <v>8.5430125326612615E-3</v>
      </c>
      <c r="E5">
        <v>1.2500000000000001E-2</v>
      </c>
      <c r="F5" s="8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30.941668828328449</v>
      </c>
      <c r="C6">
        <f t="shared" si="0"/>
        <v>1.5639136230170787E-2</v>
      </c>
      <c r="D6" s="9">
        <f t="shared" si="1"/>
        <v>5.0543932575002146E-4</v>
      </c>
      <c r="E6">
        <v>6.2500000000000003E-3</v>
      </c>
      <c r="F6" s="8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32.113107045491539</v>
      </c>
      <c r="C7">
        <f t="shared" si="0"/>
        <v>0.12372583898406636</v>
      </c>
      <c r="D7" s="9">
        <f t="shared" si="1"/>
        <v>3.8528143293265244E-3</v>
      </c>
      <c r="E7">
        <v>3.1250000000000002E-3</v>
      </c>
      <c r="F7" s="8">
        <f t="shared" si="2"/>
        <v>-2.5051499783199058</v>
      </c>
    </row>
    <row r="28" spans="1:7" x14ac:dyDescent="0.2">
      <c r="B28" s="3" t="s">
        <v>446</v>
      </c>
      <c r="C28">
        <f>SLOPE(B2:B7,F2:F7)</f>
        <v>-3.4216488640103702</v>
      </c>
    </row>
    <row r="29" spans="1:7" x14ac:dyDescent="0.2">
      <c r="B29" s="12" t="s">
        <v>447</v>
      </c>
      <c r="C29" s="12">
        <f>10^(-1/C28)</f>
        <v>1.960003093581363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Workspace'!D243</f>
        <v>Blank 1.a</v>
      </c>
      <c r="C32" s="8">
        <f>'Results Workspace'!E243</f>
        <v>40.1</v>
      </c>
      <c r="D32" s="8">
        <f>'Results Workspace'!F243</f>
        <v>0</v>
      </c>
      <c r="E32" s="9">
        <f>D32/C32</f>
        <v>0</v>
      </c>
      <c r="F32" s="8">
        <f>$C$29^($B$3-C32)</f>
        <v>2.8011179388564059E-4</v>
      </c>
      <c r="G32" s="8"/>
    </row>
    <row r="33" spans="2:7" x14ac:dyDescent="0.2">
      <c r="B33" t="str">
        <f>'Results Workspace'!D246</f>
        <v>STD 10a</v>
      </c>
      <c r="C33" s="8">
        <f>'Results Workspace'!E246</f>
        <v>26.867812474568684</v>
      </c>
      <c r="D33" s="8">
        <f>'Results Workspace'!F246</f>
        <v>3.7377323610324954E-2</v>
      </c>
      <c r="E33" s="9">
        <f>D33/C33</f>
        <v>1.3911561890534961E-3</v>
      </c>
      <c r="F33" s="8">
        <f>$C$29^($B$3-C33)</f>
        <v>2.0631348102427847</v>
      </c>
      <c r="G33" s="8"/>
    </row>
    <row r="34" spans="2:7" x14ac:dyDescent="0.2">
      <c r="B34" t="str">
        <f>'Results Workspace'!D249</f>
        <v>STD 20a</v>
      </c>
      <c r="C34" s="8">
        <f>'Results Workspace'!E249</f>
        <v>27.944015502929688</v>
      </c>
      <c r="D34" s="8">
        <f>'Results Workspace'!F249</f>
        <v>5.6324005126953125E-3</v>
      </c>
      <c r="E34" s="9">
        <f>D34/C34</f>
        <v>2.0156016990846589E-4</v>
      </c>
      <c r="F34" s="8">
        <f>$C$29^($B$3-C34)</f>
        <v>1</v>
      </c>
      <c r="G34" s="8"/>
    </row>
    <row r="35" spans="2:7" x14ac:dyDescent="0.2">
      <c r="B35" t="str">
        <f>'Results Workspace'!D252</f>
        <v>STD 40a</v>
      </c>
      <c r="C35" s="8">
        <f>'Results Workspace'!E252</f>
        <v>28.782270431518555</v>
      </c>
      <c r="D35" s="8">
        <f>'Results Workspace'!F252</f>
        <v>2.4351901004035462E-2</v>
      </c>
      <c r="E35" s="9">
        <f>D35/C35</f>
        <v>8.4607296919038269E-4</v>
      </c>
      <c r="F35" s="8">
        <f>$C$29^($B$3-C35)</f>
        <v>0.56887170520957642</v>
      </c>
      <c r="G35" s="8"/>
    </row>
    <row r="36" spans="2:7" x14ac:dyDescent="0.2">
      <c r="B36" t="str">
        <f>'Results Workspace'!D255</f>
        <v>STD 80a</v>
      </c>
      <c r="C36" s="8">
        <f>'Results Workspace'!E255</f>
        <v>29.613500595092773</v>
      </c>
      <c r="D36" s="8">
        <f>'Results Workspace'!F255</f>
        <v>0.25298850671984929</v>
      </c>
      <c r="E36" s="9">
        <f>D36/C36</f>
        <v>8.5430125326612615E-3</v>
      </c>
      <c r="F36" s="8">
        <f>$C$29^($B$3-C36)</f>
        <v>0.32514845999323216</v>
      </c>
      <c r="G36" s="8"/>
    </row>
    <row r="37" spans="2:7" x14ac:dyDescent="0.2">
      <c r="B37" t="str">
        <f>'Results Workspace'!D258</f>
        <v>STD 160a</v>
      </c>
      <c r="C37" s="8">
        <f>'Results Workspace'!E258</f>
        <v>30.941668828328449</v>
      </c>
      <c r="D37" s="8">
        <f>'Results Workspace'!F258</f>
        <v>1.5639136230170787E-2</v>
      </c>
      <c r="E37" s="9">
        <f t="shared" ref="E37:E45" si="3">D37/C37</f>
        <v>5.0543932575002146E-4</v>
      </c>
      <c r="F37" s="8">
        <f t="shared" ref="F37:F65" si="4">$C$29^($B$3-C37)</f>
        <v>0.13301957656290958</v>
      </c>
      <c r="G37" s="8"/>
    </row>
    <row r="38" spans="2:7" x14ac:dyDescent="0.2">
      <c r="B38" t="str">
        <f>'Results Workspace'!D261</f>
        <v>STD 320a</v>
      </c>
      <c r="C38" s="8">
        <f>'Results Workspace'!E261</f>
        <v>32.113107045491539</v>
      </c>
      <c r="D38" s="8">
        <f>'Results Workspace'!F261</f>
        <v>0.12372583898406636</v>
      </c>
      <c r="E38" s="9">
        <f t="shared" si="3"/>
        <v>3.8528143293265244E-3</v>
      </c>
      <c r="F38" s="8">
        <f t="shared" si="4"/>
        <v>6.047206885771577E-2</v>
      </c>
      <c r="G38" s="8"/>
    </row>
    <row r="39" spans="2:7" x14ac:dyDescent="0.2">
      <c r="B39" t="str">
        <f>'Results Workspace'!D264</f>
        <v>0.1.a</v>
      </c>
      <c r="C39" s="8">
        <f>'Results Workspace'!E264</f>
        <v>28.74793815612793</v>
      </c>
      <c r="D39" s="8">
        <f>'Results Workspace'!F264</f>
        <v>7.7257463369594201E-2</v>
      </c>
      <c r="E39" s="9">
        <f t="shared" si="3"/>
        <v>2.687408848245555E-3</v>
      </c>
      <c r="F39" s="8">
        <f t="shared" si="4"/>
        <v>0.58216778916809675</v>
      </c>
      <c r="G39" s="8">
        <f>F39/'Housekeeper summary'!$E$4</f>
        <v>1.0984297908832013</v>
      </c>
    </row>
    <row r="40" spans="2:7" x14ac:dyDescent="0.2">
      <c r="B40" t="str">
        <f>'Results Workspace'!D267</f>
        <v>0.2.a</v>
      </c>
      <c r="C40" s="8">
        <f>'Results Workspace'!E267</f>
        <v>28.98705228169759</v>
      </c>
      <c r="D40" s="8">
        <f>'Results Workspace'!F267</f>
        <v>8.1268037424986644E-2</v>
      </c>
      <c r="E40" s="9">
        <f t="shared" si="3"/>
        <v>2.803597848971323E-3</v>
      </c>
      <c r="F40" s="8">
        <f t="shared" si="4"/>
        <v>0.49563897912610239</v>
      </c>
      <c r="G40" s="8">
        <f>F40/'Housekeeper summary'!$E$4</f>
        <v>0.93516788514358939</v>
      </c>
    </row>
    <row r="41" spans="2:7" x14ac:dyDescent="0.2">
      <c r="B41" t="str">
        <f>'Results Workspace'!D270</f>
        <v>0.3.a</v>
      </c>
      <c r="C41" s="8">
        <f>'Results Workspace'!E270</f>
        <v>28.660826365152996</v>
      </c>
      <c r="D41" s="8">
        <f>'Results Workspace'!F270</f>
        <v>4.9178378096282852E-2</v>
      </c>
      <c r="E41" s="9">
        <f t="shared" si="3"/>
        <v>1.7158743948875086E-3</v>
      </c>
      <c r="F41" s="8">
        <f t="shared" si="4"/>
        <v>0.61731550066293561</v>
      </c>
      <c r="G41" s="8">
        <f>F41/'Housekeeper summary'!$E$4</f>
        <v>1.1647462276659162</v>
      </c>
    </row>
    <row r="42" spans="2:7" x14ac:dyDescent="0.2">
      <c r="B42" t="str">
        <f>'Results Workspace'!D273</f>
        <v>2.1.a</v>
      </c>
      <c r="C42" s="8">
        <f>'Results Workspace'!E273</f>
        <v>28.797217051188152</v>
      </c>
      <c r="D42" s="8">
        <f>'Results Workspace'!F273</f>
        <v>7.8046513354998792E-2</v>
      </c>
      <c r="E42" s="9">
        <f t="shared" si="3"/>
        <v>2.7102102684529597E-3</v>
      </c>
      <c r="F42" s="8">
        <f t="shared" si="4"/>
        <v>0.56317852053584438</v>
      </c>
      <c r="G42" s="8">
        <f>F42/'Housekeeper summary'!$E$4</f>
        <v>1.0626009821431026</v>
      </c>
    </row>
    <row r="43" spans="2:7" x14ac:dyDescent="0.2">
      <c r="B43" t="str">
        <f>'Results Workspace'!D276</f>
        <v>2.2.a</v>
      </c>
      <c r="C43" s="8">
        <f>'Results Workspace'!E276</f>
        <v>28.909215927124023</v>
      </c>
      <c r="D43" s="8">
        <f>'Results Workspace'!F276</f>
        <v>0.16970372610563192</v>
      </c>
      <c r="E43" s="9">
        <f t="shared" si="3"/>
        <v>5.8702292906673984E-3</v>
      </c>
      <c r="F43" s="8">
        <f t="shared" si="4"/>
        <v>0.52229233743292081</v>
      </c>
      <c r="G43" s="8">
        <f>F43/'Housekeeper summary'!$E$4</f>
        <v>0.98545724043947314</v>
      </c>
    </row>
    <row r="44" spans="2:7" x14ac:dyDescent="0.2">
      <c r="B44" t="str">
        <f>'Results Workspace'!D279</f>
        <v>2.3.a</v>
      </c>
      <c r="C44" s="8">
        <f>'Results Workspace'!E279</f>
        <v>28.749144872029621</v>
      </c>
      <c r="D44" s="8">
        <f>'Results Workspace'!F279</f>
        <v>0.17878891974103817</v>
      </c>
      <c r="E44" s="9">
        <f t="shared" si="3"/>
        <v>6.2189300077229075E-3</v>
      </c>
      <c r="F44" s="8">
        <f t="shared" si="4"/>
        <v>0.58169522897620418</v>
      </c>
      <c r="G44" s="8">
        <f>F44/'Housekeeper summary'!$E$4</f>
        <v>1.0975381678796305</v>
      </c>
    </row>
    <row r="45" spans="2:7" x14ac:dyDescent="0.2">
      <c r="B45" t="str">
        <f>'Results Workspace'!D282</f>
        <v>8.1.a</v>
      </c>
      <c r="C45" s="8">
        <f>'Results Workspace'!E282</f>
        <v>28.836126963297527</v>
      </c>
      <c r="D45" s="8">
        <f>'Results Workspace'!F282</f>
        <v>0.12922872880867334</v>
      </c>
      <c r="E45" s="9">
        <f t="shared" si="3"/>
        <v>4.481487024008286E-3</v>
      </c>
      <c r="F45" s="8">
        <f t="shared" si="4"/>
        <v>0.54862348916177939</v>
      </c>
      <c r="G45" s="8">
        <f>F45/'Housekeeper summary'!$E$4</f>
        <v>1.03513865879581</v>
      </c>
    </row>
    <row r="46" spans="2:7" x14ac:dyDescent="0.2">
      <c r="B46" t="str">
        <f>'Results Workspace'!D285</f>
        <v>8.2.a</v>
      </c>
      <c r="C46" s="8">
        <f>'Results Workspace'!E285</f>
        <v>28.930132548014324</v>
      </c>
      <c r="D46" s="8">
        <f>'Results Workspace'!F285</f>
        <v>3.2573912461346041E-2</v>
      </c>
      <c r="E46" s="9">
        <f>D46/C46</f>
        <v>1.1259510272648859E-3</v>
      </c>
      <c r="F46" s="8">
        <f t="shared" si="4"/>
        <v>0.51499217536275699</v>
      </c>
      <c r="G46" s="8">
        <f>F46/'Housekeeper summary'!$E$4</f>
        <v>0.97168334974105086</v>
      </c>
    </row>
    <row r="47" spans="2:7" x14ac:dyDescent="0.2">
      <c r="B47" t="str">
        <f>'Results Workspace'!D288</f>
        <v>8.3.a</v>
      </c>
      <c r="C47" s="8">
        <f>'Results Workspace'!E288</f>
        <v>28.725109100341797</v>
      </c>
      <c r="D47" s="8">
        <f>'Results Workspace'!F288</f>
        <v>0.11606009571088667</v>
      </c>
      <c r="E47" s="9">
        <f t="shared" ref="E47:E63" si="5">D47/C47</f>
        <v>4.0403709279386406E-3</v>
      </c>
      <c r="F47" s="8">
        <f t="shared" si="4"/>
        <v>0.59118052444307312</v>
      </c>
      <c r="G47" s="8">
        <f>F47/'Housekeeper summary'!$E$4</f>
        <v>1.1154349517793831</v>
      </c>
    </row>
    <row r="48" spans="2:7" x14ac:dyDescent="0.2">
      <c r="B48" t="str">
        <f>'Results Workspace'!D291</f>
        <v>0.4.a</v>
      </c>
      <c r="C48" s="8">
        <f>'Results Workspace'!E291</f>
        <v>28.430091222127277</v>
      </c>
      <c r="D48" s="8">
        <f>'Results Workspace'!F291</f>
        <v>8.0664109948177729E-2</v>
      </c>
      <c r="E48" s="9">
        <f t="shared" si="5"/>
        <v>2.8372793220373654E-3</v>
      </c>
      <c r="F48" s="8">
        <f t="shared" si="4"/>
        <v>0.72100966556368362</v>
      </c>
      <c r="G48" s="8">
        <f>F48/'Housekeeper summary'!$E$4</f>
        <v>1.3603955954031766</v>
      </c>
    </row>
    <row r="49" spans="2:7" x14ac:dyDescent="0.2">
      <c r="B49" t="str">
        <f>'Results Workspace'!D294</f>
        <v>0.5.a</v>
      </c>
      <c r="C49" s="8">
        <f>'Results Workspace'!E294</f>
        <v>28.642038981119793</v>
      </c>
      <c r="D49" s="8">
        <f>'Results Workspace'!F294</f>
        <v>0.12689035999118892</v>
      </c>
      <c r="E49" s="9">
        <f t="shared" si="5"/>
        <v>4.4302139269774849E-3</v>
      </c>
      <c r="F49" s="8">
        <f t="shared" si="4"/>
        <v>0.62516970158116336</v>
      </c>
      <c r="G49" s="8">
        <f>F49/'Housekeeper summary'!$E$4</f>
        <v>1.1795654746814404</v>
      </c>
    </row>
    <row r="50" spans="2:7" x14ac:dyDescent="0.2">
      <c r="B50" t="str">
        <f>'Results Workspace'!D297</f>
        <v>0.6.a</v>
      </c>
      <c r="C50" s="8">
        <f>'Results Workspace'!E297</f>
        <v>28.839453379313152</v>
      </c>
      <c r="D50" s="8">
        <f>'Results Workspace'!F297</f>
        <v>4.2471484750118471E-2</v>
      </c>
      <c r="E50" s="9">
        <f t="shared" si="5"/>
        <v>1.4726868845781841E-3</v>
      </c>
      <c r="F50" s="8">
        <f t="shared" si="4"/>
        <v>0.54739676980820451</v>
      </c>
      <c r="G50" s="8">
        <f>F50/'Housekeeper summary'!$E$4</f>
        <v>1.0328240939777442</v>
      </c>
    </row>
    <row r="51" spans="2:7" x14ac:dyDescent="0.2">
      <c r="B51" t="str">
        <f>'Results Workspace'!D300</f>
        <v>0.7.a</v>
      </c>
      <c r="C51" s="8">
        <f>'Results Workspace'!E300</f>
        <v>30.775830586751301</v>
      </c>
      <c r="D51" s="8">
        <f>'Results Workspace'!F300</f>
        <v>0.2209682242603439</v>
      </c>
      <c r="E51" s="9">
        <f t="shared" si="5"/>
        <v>7.1799272366500676E-3</v>
      </c>
      <c r="F51" s="8">
        <f t="shared" si="4"/>
        <v>0.14872463360033208</v>
      </c>
      <c r="G51" s="8">
        <f>F51/'Housekeeper summary'!$E$4</f>
        <v>0.28061251622704164</v>
      </c>
    </row>
    <row r="52" spans="2:7" x14ac:dyDescent="0.2">
      <c r="B52" t="str">
        <f>'Results Workspace'!D303</f>
        <v>0.8.a</v>
      </c>
      <c r="C52" s="8">
        <f>'Results Workspace'!E303</f>
        <v>28.341237386067707</v>
      </c>
      <c r="D52" s="8">
        <f>'Results Workspace'!F303</f>
        <v>0.27961079070897338</v>
      </c>
      <c r="E52" s="9">
        <f t="shared" si="5"/>
        <v>9.8658638964870139E-3</v>
      </c>
      <c r="F52" s="8">
        <f t="shared" si="4"/>
        <v>0.76543659321288882</v>
      </c>
      <c r="G52" s="8">
        <f>F52/'Housekeeper summary'!$E$4</f>
        <v>1.4442199871941297</v>
      </c>
    </row>
    <row r="53" spans="2:7" x14ac:dyDescent="0.2">
      <c r="B53" t="str">
        <f>'Results Workspace'!D306</f>
        <v>0.9.a</v>
      </c>
      <c r="C53" s="8">
        <f>'Results Workspace'!E306</f>
        <v>28.266670227050781</v>
      </c>
      <c r="D53" s="8">
        <f>'Results Workspace'!F306</f>
        <v>6.3616322654479501E-2</v>
      </c>
      <c r="E53" s="9">
        <f t="shared" si="5"/>
        <v>2.2505771689231239E-3</v>
      </c>
      <c r="F53" s="8">
        <f t="shared" si="4"/>
        <v>0.80482596086003499</v>
      </c>
      <c r="G53" s="8">
        <f>F53/'Housekeeper summary'!$E$4</f>
        <v>1.5185395487925188</v>
      </c>
    </row>
    <row r="54" spans="2:7" x14ac:dyDescent="0.2">
      <c r="B54" t="str">
        <f>'Results Workspace'!D309</f>
        <v>2.4.a</v>
      </c>
      <c r="C54" s="8">
        <f>'Results Workspace'!E309</f>
        <v>28.854654947916668</v>
      </c>
      <c r="D54" s="8">
        <f>'Results Workspace'!F309</f>
        <v>0.10778307018032003</v>
      </c>
      <c r="E54" s="9">
        <f t="shared" si="5"/>
        <v>3.7353789319217647E-3</v>
      </c>
      <c r="F54" s="8">
        <f t="shared" si="4"/>
        <v>0.54182553585075632</v>
      </c>
      <c r="G54" s="8">
        <f>F54/'Housekeeper summary'!$E$4</f>
        <v>1.0223123317938798</v>
      </c>
    </row>
    <row r="55" spans="2:7" x14ac:dyDescent="0.2">
      <c r="B55" t="str">
        <f>'Results Workspace'!D312</f>
        <v>2.5.a</v>
      </c>
      <c r="C55" s="8">
        <f>'Results Workspace'!E312</f>
        <v>29.766581853230793</v>
      </c>
      <c r="D55" s="8">
        <f>'Results Workspace'!F312</f>
        <v>0.16236822434184311</v>
      </c>
      <c r="E55" s="9">
        <f t="shared" si="5"/>
        <v>5.4547151279386837E-3</v>
      </c>
      <c r="F55" s="8">
        <f t="shared" si="4"/>
        <v>0.29332067068990436</v>
      </c>
      <c r="G55" s="8">
        <f>F55/'Housekeeper summary'!$E$4</f>
        <v>0.55343522771680065</v>
      </c>
    </row>
    <row r="56" spans="2:7" x14ac:dyDescent="0.2">
      <c r="B56" t="str">
        <f>'Results Workspace'!D315</f>
        <v>2.6.a</v>
      </c>
      <c r="C56" s="8">
        <f>'Results Workspace'!E315</f>
        <v>28.801394780476887</v>
      </c>
      <c r="D56" s="8">
        <f>'Results Workspace'!F315</f>
        <v>5.1162543201543363E-2</v>
      </c>
      <c r="E56" s="9">
        <f t="shared" si="5"/>
        <v>1.7763911640912629E-3</v>
      </c>
      <c r="F56" s="8">
        <f t="shared" si="4"/>
        <v>0.56159743165313281</v>
      </c>
      <c r="G56" s="8">
        <f>F56/'Housekeeper summary'!$E$4</f>
        <v>1.0596177955719486</v>
      </c>
    </row>
    <row r="57" spans="2:7" x14ac:dyDescent="0.2">
      <c r="B57" t="str">
        <f>'Results Workspace'!D318</f>
        <v>2.7.a</v>
      </c>
      <c r="C57" s="8">
        <f>'Results Workspace'!E318</f>
        <v>27.724384307861328</v>
      </c>
      <c r="D57" s="8">
        <f>'Results Workspace'!F318</f>
        <v>9.47918778230155E-2</v>
      </c>
      <c r="E57" s="9">
        <f t="shared" si="5"/>
        <v>3.419079636554345E-3</v>
      </c>
      <c r="F57" s="8">
        <f t="shared" si="4"/>
        <v>1.1592809538254811</v>
      </c>
      <c r="G57" s="8">
        <f>F57/'Housekeeper summary'!$E$4</f>
        <v>2.1873225543877002</v>
      </c>
    </row>
    <row r="58" spans="2:7" x14ac:dyDescent="0.2">
      <c r="B58" t="str">
        <f>'Results Workspace'!D321</f>
        <v>2.8.a</v>
      </c>
      <c r="C58" s="8" t="e">
        <f>'Results Workspace'!E321</f>
        <v>#DIV/0!</v>
      </c>
      <c r="D58" s="8" t="e">
        <f>'Results Workspace'!F321</f>
        <v>#DIV/0!</v>
      </c>
      <c r="E58" s="9" t="e">
        <f t="shared" si="5"/>
        <v>#DIV/0!</v>
      </c>
      <c r="F58" s="8" t="e">
        <f t="shared" si="4"/>
        <v>#DIV/0!</v>
      </c>
      <c r="G58" s="8" t="e">
        <f>F58/'Housekeeper summary'!$E$4</f>
        <v>#DIV/0!</v>
      </c>
    </row>
    <row r="59" spans="2:7" x14ac:dyDescent="0.2">
      <c r="B59" t="str">
        <f>'Results Workspace'!D324</f>
        <v>2.9.a</v>
      </c>
      <c r="C59" s="8">
        <f>'Results Workspace'!E324</f>
        <v>28.723313649495442</v>
      </c>
      <c r="D59" s="8">
        <f>'Results Workspace'!F324</f>
        <v>8.6422885077076197E-2</v>
      </c>
      <c r="E59" s="9">
        <f t="shared" si="5"/>
        <v>3.0088062307739452E-3</v>
      </c>
      <c r="F59" s="8">
        <f t="shared" si="4"/>
        <v>0.59189524501152135</v>
      </c>
      <c r="G59" s="8">
        <f>F59/'Housekeeper summary'!$E$4</f>
        <v>1.1167834811538138</v>
      </c>
    </row>
    <row r="60" spans="2:7" x14ac:dyDescent="0.2">
      <c r="B60" t="str">
        <f>'Results Workspace'!D327</f>
        <v>8.4.a</v>
      </c>
      <c r="C60" s="8" t="e">
        <f>'Results Workspace'!E327</f>
        <v>#DIV/0!</v>
      </c>
      <c r="D60" s="8" t="e">
        <f>'Results Workspace'!F327</f>
        <v>#DIV/0!</v>
      </c>
      <c r="E60" s="9" t="e">
        <f t="shared" si="5"/>
        <v>#DIV/0!</v>
      </c>
      <c r="F60" s="8" t="e">
        <f t="shared" si="4"/>
        <v>#DIV/0!</v>
      </c>
      <c r="G60" s="8" t="e">
        <f>F60/'Housekeeper summary'!$E$4</f>
        <v>#DIV/0!</v>
      </c>
    </row>
    <row r="61" spans="2:7" x14ac:dyDescent="0.2">
      <c r="B61" t="str">
        <f>'Results Workspace'!D330</f>
        <v>8.5.a</v>
      </c>
      <c r="C61" s="8">
        <f>'Results Workspace'!E330</f>
        <v>28.451128641764324</v>
      </c>
      <c r="D61" s="8">
        <f>'Results Workspace'!F330</f>
        <v>4.460871915637931E-2</v>
      </c>
      <c r="E61" s="9">
        <f t="shared" si="5"/>
        <v>1.5679068383563787E-3</v>
      </c>
      <c r="F61" s="8">
        <f t="shared" si="4"/>
        <v>0.71087421012051144</v>
      </c>
      <c r="G61" s="8">
        <f>F61/'Housekeeper summary'!$E$4</f>
        <v>1.3412720945670027</v>
      </c>
    </row>
    <row r="62" spans="2:7" x14ac:dyDescent="0.2">
      <c r="B62" t="str">
        <f>'Results Workspace'!D333</f>
        <v>8.6.a</v>
      </c>
      <c r="C62" s="8">
        <f>'Results Workspace'!E333</f>
        <v>28.154822031656902</v>
      </c>
      <c r="D62" s="8">
        <f>'Results Workspace'!F333</f>
        <v>4.1382373557744802E-2</v>
      </c>
      <c r="E62" s="9">
        <f t="shared" si="5"/>
        <v>1.4698147802609095E-3</v>
      </c>
      <c r="F62" s="8">
        <f t="shared" si="4"/>
        <v>0.86774149876602003</v>
      </c>
      <c r="G62" s="8">
        <f>F62/'Housekeeper summary'!$E$4</f>
        <v>1.6372481108792829</v>
      </c>
    </row>
    <row r="63" spans="2:7" x14ac:dyDescent="0.2">
      <c r="B63" t="str">
        <f>'Results Workspace'!D336</f>
        <v>8.7.a</v>
      </c>
      <c r="C63" s="8">
        <f>'Results Workspace'!E336</f>
        <v>28.216995239257813</v>
      </c>
      <c r="D63" s="8">
        <f>'Results Workspace'!F336</f>
        <v>0.11877832990467821</v>
      </c>
      <c r="E63" s="9">
        <f t="shared" si="5"/>
        <v>4.2094606068977889E-3</v>
      </c>
      <c r="F63" s="8">
        <f t="shared" si="4"/>
        <v>0.83218489296480902</v>
      </c>
      <c r="G63" s="8">
        <f>F63/'Housekeeper summary'!$E$4</f>
        <v>1.5701601754053001</v>
      </c>
    </row>
    <row r="64" spans="2:7" x14ac:dyDescent="0.2">
      <c r="B64" t="str">
        <f>'Results Workspace'!D339</f>
        <v>8.8.a</v>
      </c>
      <c r="C64" s="8">
        <f>'Results Workspace'!E339</f>
        <v>27.98768424987793</v>
      </c>
      <c r="D64" s="8">
        <f>'Results Workspace'!F339</f>
        <v>7.396544170763833E-2</v>
      </c>
      <c r="E64" s="8">
        <f>'Results Workspace'!G193</f>
        <v>0</v>
      </c>
      <c r="F64" s="8">
        <f t="shared" si="4"/>
        <v>0.97104087981846932</v>
      </c>
      <c r="G64" s="8">
        <f>F64/'Housekeeper summary'!$E$4</f>
        <v>1.832152603431074</v>
      </c>
    </row>
    <row r="65" spans="2:7" x14ac:dyDescent="0.2">
      <c r="B65" t="str">
        <f>'Results Workspace'!D342</f>
        <v>8.9.a</v>
      </c>
      <c r="C65" s="8">
        <f>'Results Workspace'!E342</f>
        <v>28.373884836832683</v>
      </c>
      <c r="D65" s="8">
        <f>'Results Workspace'!F342</f>
        <v>0.27334884670238074</v>
      </c>
      <c r="E65" s="8">
        <f>'Results Workspace'!G194</f>
        <v>0</v>
      </c>
      <c r="F65" s="8">
        <f t="shared" si="4"/>
        <v>0.74880335677701082</v>
      </c>
      <c r="G65" s="8">
        <f>F65/'Housekeeper summary'!$E$4</f>
        <v>1.412836522220775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43"/>
  <sheetViews>
    <sheetView tabSelected="1" workbookViewId="0">
      <selection activeCell="H13" sqref="H13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4" t="s">
        <v>458</v>
      </c>
      <c r="C3" s="14" t="s">
        <v>459</v>
      </c>
      <c r="D3" s="14" t="s">
        <v>460</v>
      </c>
      <c r="E3" s="14" t="s">
        <v>454</v>
      </c>
    </row>
    <row r="4" spans="1:5" x14ac:dyDescent="0.2">
      <c r="A4" t="s">
        <v>461</v>
      </c>
      <c r="B4" s="8">
        <v>0.51</v>
      </c>
      <c r="C4" s="8">
        <v>0.56000000000000005</v>
      </c>
      <c r="D4" s="8">
        <v>0.52</v>
      </c>
      <c r="E4" s="15">
        <v>0.53</v>
      </c>
    </row>
    <row r="5" spans="1:5" x14ac:dyDescent="0.2">
      <c r="A5" t="s">
        <v>464</v>
      </c>
      <c r="B5" s="8">
        <v>0.46</v>
      </c>
      <c r="C5" s="8">
        <v>0.53</v>
      </c>
      <c r="D5" s="8">
        <v>0.42</v>
      </c>
      <c r="E5" s="15">
        <v>0.47</v>
      </c>
    </row>
    <row r="6" spans="1:5" x14ac:dyDescent="0.2">
      <c r="A6" t="s">
        <v>467</v>
      </c>
      <c r="B6" s="8">
        <v>0.49</v>
      </c>
      <c r="C6" s="8">
        <v>0.59</v>
      </c>
      <c r="D6" s="8">
        <v>0.5</v>
      </c>
      <c r="E6" s="15">
        <v>0.52</v>
      </c>
    </row>
    <row r="7" spans="1:5" x14ac:dyDescent="0.2">
      <c r="A7" t="s">
        <v>470</v>
      </c>
      <c r="B7" s="8">
        <v>0.52</v>
      </c>
      <c r="C7" s="8">
        <v>0.51</v>
      </c>
      <c r="D7" s="8">
        <v>0.5</v>
      </c>
      <c r="E7" s="15">
        <v>0.51</v>
      </c>
    </row>
    <row r="8" spans="1:5" x14ac:dyDescent="0.2">
      <c r="A8" t="s">
        <v>473</v>
      </c>
      <c r="B8" s="8">
        <v>0.43</v>
      </c>
      <c r="C8" s="8">
        <v>0.62</v>
      </c>
      <c r="D8" s="8">
        <v>0.41</v>
      </c>
      <c r="E8" s="15">
        <v>0.48</v>
      </c>
    </row>
    <row r="9" spans="1:5" x14ac:dyDescent="0.2">
      <c r="A9" t="s">
        <v>476</v>
      </c>
      <c r="B9" s="8">
        <v>0.5</v>
      </c>
      <c r="C9" s="8">
        <v>1.02</v>
      </c>
      <c r="D9" s="8">
        <v>0.57999999999999996</v>
      </c>
      <c r="E9" s="15">
        <v>0.67</v>
      </c>
    </row>
    <row r="10" spans="1:5" x14ac:dyDescent="0.2">
      <c r="A10" t="s">
        <v>479</v>
      </c>
      <c r="B10" s="8">
        <v>0.44</v>
      </c>
      <c r="C10" s="8">
        <v>0.59</v>
      </c>
      <c r="D10" s="8">
        <v>0.4</v>
      </c>
      <c r="E10" s="15">
        <v>0.47</v>
      </c>
    </row>
    <row r="11" spans="1:5" x14ac:dyDescent="0.2">
      <c r="A11" t="s">
        <v>482</v>
      </c>
      <c r="B11" s="8">
        <v>0.41</v>
      </c>
      <c r="C11" s="8">
        <v>0.47</v>
      </c>
      <c r="D11" s="8">
        <v>0.41</v>
      </c>
      <c r="E11" s="15">
        <v>0.43</v>
      </c>
    </row>
    <row r="12" spans="1:5" x14ac:dyDescent="0.2">
      <c r="A12" t="s">
        <v>485</v>
      </c>
      <c r="B12" s="8">
        <v>0.55000000000000004</v>
      </c>
      <c r="C12" s="8">
        <v>0.73</v>
      </c>
      <c r="D12" s="8">
        <v>0.52</v>
      </c>
      <c r="E12" s="15">
        <v>0.6</v>
      </c>
    </row>
    <row r="13" spans="1:5" x14ac:dyDescent="0.2">
      <c r="A13" t="s">
        <v>488</v>
      </c>
      <c r="B13" s="8">
        <v>0.63</v>
      </c>
      <c r="C13" s="8">
        <v>0.54</v>
      </c>
      <c r="D13" s="8">
        <v>0.55000000000000004</v>
      </c>
      <c r="E13" s="15">
        <v>0.56999999999999995</v>
      </c>
    </row>
    <row r="14" spans="1:5" x14ac:dyDescent="0.2">
      <c r="A14" t="s">
        <v>491</v>
      </c>
      <c r="B14" s="8">
        <v>0.48</v>
      </c>
      <c r="C14" s="8">
        <v>0.45</v>
      </c>
      <c r="D14" s="8">
        <v>0.47</v>
      </c>
      <c r="E14" s="15">
        <v>0.46</v>
      </c>
    </row>
    <row r="15" spans="1:5" x14ac:dyDescent="0.2">
      <c r="A15" t="s">
        <v>494</v>
      </c>
      <c r="B15" s="8">
        <v>0.45</v>
      </c>
      <c r="C15" s="8">
        <v>0.49</v>
      </c>
      <c r="D15" s="8">
        <v>0.42</v>
      </c>
      <c r="E15" s="15">
        <v>0.45</v>
      </c>
    </row>
    <row r="16" spans="1:5" x14ac:dyDescent="0.2">
      <c r="A16" t="s">
        <v>497</v>
      </c>
      <c r="B16" s="8"/>
      <c r="C16" s="8"/>
      <c r="D16" s="8"/>
      <c r="E16" s="15"/>
    </row>
    <row r="17" spans="1:5" x14ac:dyDescent="0.2">
      <c r="A17" t="s">
        <v>500</v>
      </c>
      <c r="B17" s="8">
        <v>0.44</v>
      </c>
      <c r="C17" s="8">
        <v>0.79</v>
      </c>
      <c r="D17" s="8">
        <v>0.64</v>
      </c>
      <c r="E17" s="15">
        <v>0.6</v>
      </c>
    </row>
    <row r="18" spans="1:5" x14ac:dyDescent="0.2">
      <c r="A18" t="s">
        <v>503</v>
      </c>
      <c r="B18" s="8">
        <v>0.56999999999999995</v>
      </c>
      <c r="C18" s="8">
        <v>0.57999999999999996</v>
      </c>
      <c r="D18" s="8">
        <v>0.65</v>
      </c>
      <c r="E18" s="15">
        <v>0.6</v>
      </c>
    </row>
    <row r="19" spans="1:5" x14ac:dyDescent="0.2">
      <c r="A19" t="s">
        <v>506</v>
      </c>
      <c r="B19" s="8">
        <v>0.4</v>
      </c>
      <c r="C19" s="8">
        <v>0.44</v>
      </c>
      <c r="D19" s="8">
        <v>0.39</v>
      </c>
      <c r="E19" s="15">
        <v>0.41</v>
      </c>
    </row>
    <row r="20" spans="1:5" x14ac:dyDescent="0.2">
      <c r="A20" t="s">
        <v>509</v>
      </c>
      <c r="B20" s="8"/>
      <c r="C20" s="8"/>
      <c r="D20" s="8"/>
      <c r="E20" s="15"/>
    </row>
    <row r="21" spans="1:5" x14ac:dyDescent="0.2">
      <c r="A21" t="s">
        <v>512</v>
      </c>
      <c r="B21" s="8">
        <v>0.44</v>
      </c>
      <c r="C21" s="8">
        <v>0.42</v>
      </c>
      <c r="D21" s="8">
        <v>0.38</v>
      </c>
      <c r="E21" s="15">
        <v>0.41</v>
      </c>
    </row>
    <row r="22" spans="1:5" x14ac:dyDescent="0.2">
      <c r="A22" t="s">
        <v>515</v>
      </c>
      <c r="B22" s="8">
        <v>0.73</v>
      </c>
      <c r="C22" s="8">
        <v>0.55000000000000004</v>
      </c>
      <c r="D22" s="8">
        <v>0.76</v>
      </c>
      <c r="E22" s="15">
        <v>0.67</v>
      </c>
    </row>
    <row r="23" spans="1:5" x14ac:dyDescent="0.2">
      <c r="A23" t="s">
        <v>518</v>
      </c>
      <c r="B23" s="8"/>
      <c r="C23" s="8"/>
      <c r="D23" s="8"/>
      <c r="E23" s="15"/>
    </row>
    <row r="24" spans="1:5" x14ac:dyDescent="0.2">
      <c r="A24" t="s">
        <v>521</v>
      </c>
      <c r="B24" s="8">
        <v>0.55000000000000004</v>
      </c>
      <c r="C24" s="8">
        <v>0.5</v>
      </c>
      <c r="D24" s="8">
        <v>0.44</v>
      </c>
      <c r="E24" s="15">
        <v>0.49</v>
      </c>
    </row>
    <row r="25" spans="1:5" x14ac:dyDescent="0.2">
      <c r="A25" t="s">
        <v>524</v>
      </c>
      <c r="B25" s="8"/>
      <c r="C25" s="8"/>
      <c r="D25" s="8"/>
      <c r="E25" s="15"/>
    </row>
    <row r="26" spans="1:5" x14ac:dyDescent="0.2">
      <c r="A26" t="s">
        <v>527</v>
      </c>
      <c r="B26" s="8">
        <v>0.56000000000000005</v>
      </c>
      <c r="C26" s="8">
        <v>0.49</v>
      </c>
      <c r="D26" s="8">
        <v>0.56000000000000005</v>
      </c>
      <c r="E26" s="15">
        <v>0.54</v>
      </c>
    </row>
    <row r="27" spans="1:5" x14ac:dyDescent="0.2">
      <c r="A27" t="s">
        <v>530</v>
      </c>
      <c r="B27" s="8">
        <v>0.6</v>
      </c>
      <c r="C27" s="8">
        <v>0.6</v>
      </c>
      <c r="D27" s="8">
        <v>0.62</v>
      </c>
      <c r="E27" s="15">
        <v>0.6</v>
      </c>
    </row>
    <row r="28" spans="1:5" x14ac:dyDescent="0.2">
      <c r="A28" t="s">
        <v>533</v>
      </c>
      <c r="B28" s="8">
        <v>0.51</v>
      </c>
      <c r="C28" s="8">
        <v>0.72</v>
      </c>
      <c r="D28" s="8">
        <v>0.5</v>
      </c>
      <c r="E28" s="15">
        <v>0.56000000000000005</v>
      </c>
    </row>
    <row r="29" spans="1:5" x14ac:dyDescent="0.2">
      <c r="A29" t="s">
        <v>536</v>
      </c>
      <c r="B29" s="8">
        <v>0.51</v>
      </c>
      <c r="C29" s="8">
        <v>0.86</v>
      </c>
      <c r="D29" s="8">
        <v>0.56999999999999995</v>
      </c>
      <c r="E29" s="15">
        <v>0.63</v>
      </c>
    </row>
    <row r="30" spans="1:5" x14ac:dyDescent="0.2">
      <c r="A30" t="s">
        <v>539</v>
      </c>
      <c r="B30" s="8">
        <v>0.38</v>
      </c>
      <c r="C30" s="8">
        <v>0.49</v>
      </c>
      <c r="D30" s="8">
        <v>0.42</v>
      </c>
      <c r="E30" s="15">
        <v>0.43</v>
      </c>
    </row>
    <row r="31" spans="1:5" x14ac:dyDescent="0.2">
      <c r="B31" s="8"/>
      <c r="C31" s="8"/>
      <c r="D31" s="8"/>
      <c r="E31" s="15"/>
    </row>
    <row r="32" spans="1:5" x14ac:dyDescent="0.2">
      <c r="B32" s="8"/>
      <c r="C32" s="8"/>
      <c r="D32" s="8"/>
      <c r="E32" s="15"/>
    </row>
    <row r="33" spans="2:5" x14ac:dyDescent="0.2">
      <c r="B33" s="8"/>
      <c r="C33" s="8"/>
      <c r="D33" s="8"/>
      <c r="E33" s="15"/>
    </row>
    <row r="34" spans="2:5" x14ac:dyDescent="0.2">
      <c r="B34" s="8"/>
      <c r="C34" s="8"/>
      <c r="D34" s="8"/>
      <c r="E34" s="15"/>
    </row>
    <row r="35" spans="2:5" x14ac:dyDescent="0.2">
      <c r="B35" s="8"/>
      <c r="C35" s="8"/>
      <c r="D35" s="8"/>
      <c r="E35" s="15"/>
    </row>
    <row r="36" spans="2:5" x14ac:dyDescent="0.2">
      <c r="B36" s="8"/>
      <c r="C36" s="8"/>
      <c r="D36" s="8"/>
      <c r="E36" s="15"/>
    </row>
    <row r="37" spans="2:5" x14ac:dyDescent="0.2">
      <c r="B37" s="8"/>
      <c r="C37" s="8"/>
      <c r="D37" s="8"/>
      <c r="E37" s="15"/>
    </row>
    <row r="38" spans="2:5" x14ac:dyDescent="0.2">
      <c r="B38" s="8"/>
      <c r="C38" s="8"/>
      <c r="D38" s="8"/>
      <c r="E38" s="15"/>
    </row>
    <row r="39" spans="2:5" x14ac:dyDescent="0.2">
      <c r="B39" s="8"/>
      <c r="C39" s="8"/>
      <c r="D39" s="8"/>
      <c r="E39" s="15"/>
    </row>
    <row r="40" spans="2:5" x14ac:dyDescent="0.2">
      <c r="B40" s="8"/>
      <c r="C40" s="8"/>
      <c r="D40" s="8"/>
      <c r="E40" s="15"/>
    </row>
    <row r="41" spans="2:5" x14ac:dyDescent="0.2">
      <c r="B41" s="8"/>
      <c r="C41" s="8"/>
      <c r="D41" s="8"/>
      <c r="E41" s="15"/>
    </row>
    <row r="42" spans="2:5" x14ac:dyDescent="0.2">
      <c r="B42" s="8"/>
      <c r="C42" s="8"/>
      <c r="D42" s="8"/>
      <c r="E42" s="15"/>
    </row>
    <row r="43" spans="2:5" x14ac:dyDescent="0.2">
      <c r="B43" s="8"/>
      <c r="C43" s="8"/>
      <c r="D43" s="8"/>
      <c r="E43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ATG5</vt:lpstr>
      <vt:lpstr>ATG7</vt:lpstr>
      <vt:lpstr>ATG10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2021-11-04T15:37:23Z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