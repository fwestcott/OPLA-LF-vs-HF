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Western Blot Pilot/"/>
    </mc:Choice>
  </mc:AlternateContent>
  <xr:revisionPtr revIDLastSave="174" documentId="8_{609A0C67-9F72-4A4B-BFE1-A71961DB43F4}" xr6:coauthVersionLast="47" xr6:coauthVersionMax="47" xr10:uidLastSave="{1774256A-A71B-473C-8D1E-6EB01EAC62A3}"/>
  <bookViews>
    <workbookView xWindow="1050" yWindow="225" windowWidth="27750" windowHeight="15375" activeTab="1" xr2:uid="{423616D3-52A9-48F5-91E1-CA933FC1DAD5}"/>
  </bookViews>
  <sheets>
    <sheet name="Formulae" sheetId="1" r:id="rId1"/>
    <sheet name="For 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G3" i="1"/>
  <c r="H3" i="1" s="1"/>
  <c r="G4" i="1"/>
  <c r="H4" i="1" s="1"/>
  <c r="G5" i="1"/>
  <c r="H5" i="1" s="1"/>
  <c r="G6" i="1"/>
  <c r="H6" i="1" s="1"/>
  <c r="G7" i="1"/>
  <c r="G8" i="1"/>
  <c r="G9" i="1"/>
  <c r="G10" i="1"/>
  <c r="F3" i="1"/>
  <c r="F4" i="1"/>
  <c r="F5" i="1"/>
  <c r="F6" i="1"/>
  <c r="F7" i="1"/>
  <c r="F8" i="1"/>
  <c r="F9" i="1"/>
  <c r="F10" i="1"/>
  <c r="H10" i="1" s="1"/>
  <c r="G2" i="1"/>
  <c r="F2" i="1"/>
  <c r="E13" i="1" l="1"/>
  <c r="D13" i="1"/>
  <c r="D14" i="1"/>
  <c r="E14" i="1"/>
  <c r="D15" i="1"/>
  <c r="E15" i="1"/>
  <c r="H2" i="1"/>
  <c r="F14" i="1"/>
  <c r="F15" i="1" l="1"/>
  <c r="F13" i="1"/>
</calcChain>
</file>

<file path=xl/sharedStrings.xml><?xml version="1.0" encoding="utf-8"?>
<sst xmlns="http://schemas.openxmlformats.org/spreadsheetml/2006/main" count="16" uniqueCount="10">
  <si>
    <t>Lane</t>
  </si>
  <si>
    <t>Sample ID</t>
  </si>
  <si>
    <t>Alpha-Tubulin Intensity</t>
  </si>
  <si>
    <t>Raw LC3-I Intensity</t>
  </si>
  <si>
    <t>Raw LC3-II Intensity</t>
  </si>
  <si>
    <t>Normalised LC3-I</t>
  </si>
  <si>
    <t>Normalised LC3-II</t>
  </si>
  <si>
    <t>FA</t>
  </si>
  <si>
    <t>LC3-II : LC3-I Ratio</t>
  </si>
  <si>
    <t>OPLA Concentration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</si>
</sst>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6AADD-CF12-4B55-9F24-F9C163349092}" name="Table1" displayName="Table1" ref="A1:H10" totalsRowShown="0" headerRowDxfId="3">
  <autoFilter ref="A1:H10" xr:uid="{BA36AADD-CF12-4B55-9F24-F9C163349092}"/>
  <tableColumns count="8">
    <tableColumn id="1" xr3:uid="{8E6FBBCD-C0A8-4175-A3D2-CE0FD06CCD0B}" name="Lane"/>
    <tableColumn id="2" xr3:uid="{2389B73E-4918-43EF-85C1-40C32932C4C4}" name="Sample ID"/>
    <tableColumn id="3" xr3:uid="{982AE551-F4B1-4D48-BAAA-9C5507CDEFF8}" name="Alpha-Tubulin Intensity" dataDxfId="2"/>
    <tableColumn id="4" xr3:uid="{65898783-D08F-4DA0-9352-9C7D45D912AD}" name="Raw LC3-I Intensity"/>
    <tableColumn id="5" xr3:uid="{8F7401A6-DF23-4AA6-BA02-505EA075D896}" name="Raw LC3-II Intensity"/>
    <tableColumn id="6" xr3:uid="{BA2775D7-A318-48C2-8696-2803682D272B}" name="Normalised LC3-I">
      <calculatedColumnFormula>D2/C2</calculatedColumnFormula>
    </tableColumn>
    <tableColumn id="7" xr3:uid="{25686C43-01D4-4CD2-964D-63ADD271A0B5}" name="Normalised LC3-II">
      <calculatedColumnFormula>E2/C2</calculatedColumnFormula>
    </tableColumn>
    <tableColumn id="9" xr3:uid="{FA394D85-7F99-4FA7-B969-15F146A7255C}" name="LC3-II : LC3-I Ratio" dataDxfId="1">
      <calculatedColumnFormula>Table1[[#This Row],[Normalised LC3-II]]/Table1[[#This Row],[Normalised LC3-I]]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B56701-948D-44AB-BF18-FBB607099FFD}" name="Table2" displayName="Table2" ref="C12:F15" totalsRowShown="0" headerRowDxfId="0">
  <autoFilter ref="C12:F15" xr:uid="{50B56701-948D-44AB-BF18-FBB607099FFD}"/>
  <tableColumns count="4">
    <tableColumn id="1" xr3:uid="{32C79D8C-6AF7-4DD7-B913-77703518A64F}" name="FA"/>
    <tableColumn id="2" xr3:uid="{9B18692F-E4F2-4388-BD95-B4A6BC6B966A}" name="Normalised LC3-I"/>
    <tableColumn id="3" xr3:uid="{D60E28CE-1C4D-4701-B505-CAD0D422634B}" name="Normalised LC3-II"/>
    <tableColumn id="5" xr3:uid="{F652902E-B2FE-4567-BDF2-D2D5423FD7D2}" name="LC3-II : LC3-I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D164-4CD3-42AE-BF9F-1EFEA330395D}">
  <dimension ref="A1:H15"/>
  <sheetViews>
    <sheetView workbookViewId="0">
      <selection activeCell="C21" sqref="C21"/>
    </sheetView>
  </sheetViews>
  <sheetFormatPr defaultRowHeight="15" x14ac:dyDescent="0.25"/>
  <cols>
    <col min="2" max="2" width="12.28515625" customWidth="1"/>
    <col min="3" max="3" width="24" customWidth="1"/>
    <col min="4" max="4" width="19.85546875" customWidth="1"/>
    <col min="5" max="5" width="20.42578125" customWidth="1"/>
    <col min="6" max="6" width="18.28515625" customWidth="1"/>
    <col min="7" max="7" width="24.140625" customWidth="1"/>
    <col min="8" max="8" width="22.140625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25">
      <c r="A2">
        <v>1</v>
      </c>
      <c r="B2">
        <v>0.7</v>
      </c>
      <c r="C2" s="1">
        <v>4017640</v>
      </c>
      <c r="D2" s="1">
        <v>648744</v>
      </c>
      <c r="E2" s="1">
        <v>4407672</v>
      </c>
      <c r="F2">
        <f>D2/C2</f>
        <v>0.16147390010055654</v>
      </c>
      <c r="G2">
        <f>E2/C2</f>
        <v>1.0970798777391702</v>
      </c>
      <c r="H2">
        <f>Table1[[#This Row],[Normalised LC3-II]]/Table1[[#This Row],[Normalised LC3-I]]</f>
        <v>6.7941622581480514</v>
      </c>
    </row>
    <row r="3" spans="1:8" x14ac:dyDescent="0.25">
      <c r="A3">
        <v>2</v>
      </c>
      <c r="B3">
        <v>0.8</v>
      </c>
      <c r="C3" s="1">
        <v>4263556</v>
      </c>
      <c r="D3" s="1">
        <v>451920</v>
      </c>
      <c r="E3" s="1">
        <v>5673408</v>
      </c>
      <c r="F3">
        <f t="shared" ref="F3:F10" si="0">D3/C3</f>
        <v>0.10599602772896614</v>
      </c>
      <c r="G3">
        <f t="shared" ref="G3:G10" si="1">E3/C3</f>
        <v>1.3306751453481553</v>
      </c>
      <c r="H3">
        <f>Table1[[#This Row],[Normalised LC3-II]]/Table1[[#This Row],[Normalised LC3-I]]</f>
        <v>12.55400955921402</v>
      </c>
    </row>
    <row r="4" spans="1:8" x14ac:dyDescent="0.25">
      <c r="A4">
        <v>3</v>
      </c>
      <c r="B4">
        <v>0.9</v>
      </c>
      <c r="C4" s="1">
        <v>4606095</v>
      </c>
      <c r="D4" s="1">
        <v>656352</v>
      </c>
      <c r="E4" s="1">
        <v>5700384</v>
      </c>
      <c r="F4">
        <f t="shared" si="0"/>
        <v>0.14249640964852006</v>
      </c>
      <c r="G4">
        <f t="shared" si="1"/>
        <v>1.2375741273247729</v>
      </c>
      <c r="H4">
        <f>Table1[[#This Row],[Normalised LC3-II]]/Table1[[#This Row],[Normalised LC3-I]]</f>
        <v>8.6849495392716101</v>
      </c>
    </row>
    <row r="5" spans="1:8" x14ac:dyDescent="0.25">
      <c r="A5">
        <v>4</v>
      </c>
      <c r="B5">
        <v>2.7</v>
      </c>
      <c r="C5" s="1">
        <v>4348288</v>
      </c>
      <c r="D5" s="1">
        <v>278064</v>
      </c>
      <c r="E5" s="1">
        <v>2447880</v>
      </c>
      <c r="F5">
        <f t="shared" si="0"/>
        <v>6.3947926172323449E-2</v>
      </c>
      <c r="G5">
        <f t="shared" si="1"/>
        <v>0.56295259191663483</v>
      </c>
      <c r="H5">
        <f>Table1[[#This Row],[Normalised LC3-II]]/Table1[[#This Row],[Normalised LC3-I]]</f>
        <v>8.8032970826860009</v>
      </c>
    </row>
    <row r="6" spans="1:8" x14ac:dyDescent="0.25">
      <c r="A6">
        <v>5</v>
      </c>
      <c r="B6">
        <v>2.8</v>
      </c>
      <c r="C6" s="1">
        <v>4454249</v>
      </c>
      <c r="D6" s="1">
        <v>258864</v>
      </c>
      <c r="E6" s="1">
        <v>2778816</v>
      </c>
      <c r="F6">
        <f t="shared" si="0"/>
        <v>5.811619422264E-2</v>
      </c>
      <c r="G6">
        <f t="shared" si="1"/>
        <v>0.62385735507826345</v>
      </c>
      <c r="H6">
        <f>Table1[[#This Row],[Normalised LC3-II]]/Table1[[#This Row],[Normalised LC3-I]]</f>
        <v>10.734656035601706</v>
      </c>
    </row>
    <row r="7" spans="1:8" x14ac:dyDescent="0.25">
      <c r="A7">
        <v>6</v>
      </c>
      <c r="B7">
        <v>2.9</v>
      </c>
      <c r="C7" s="1">
        <v>3235870</v>
      </c>
      <c r="D7" s="1">
        <v>340104</v>
      </c>
      <c r="E7" s="1">
        <v>1747128</v>
      </c>
      <c r="F7">
        <f t="shared" si="0"/>
        <v>0.10510434597187156</v>
      </c>
      <c r="G7">
        <f t="shared" si="1"/>
        <v>0.53992527511921062</v>
      </c>
      <c r="H7">
        <f>Table1[[#This Row],[Normalised LC3-II]]/Table1[[#This Row],[Normalised LC3-I]]</f>
        <v>5.1370404346905651</v>
      </c>
    </row>
    <row r="8" spans="1:8" x14ac:dyDescent="0.25">
      <c r="A8">
        <v>7</v>
      </c>
      <c r="B8">
        <v>8.6999999999999993</v>
      </c>
      <c r="C8" s="1">
        <v>4564948</v>
      </c>
      <c r="D8" s="1">
        <v>223992</v>
      </c>
      <c r="E8" s="1">
        <v>2450016</v>
      </c>
      <c r="F8">
        <f t="shared" si="0"/>
        <v>4.9067809753802233E-2</v>
      </c>
      <c r="G8">
        <f t="shared" si="1"/>
        <v>0.53670184194869253</v>
      </c>
      <c r="H8">
        <f>Table1[[#This Row],[Normalised LC3-II]]/Table1[[#This Row],[Normalised LC3-I]]</f>
        <v>10.937962070073931</v>
      </c>
    </row>
    <row r="9" spans="1:8" x14ac:dyDescent="0.25">
      <c r="A9">
        <v>8</v>
      </c>
      <c r="B9">
        <v>8.8000000000000007</v>
      </c>
      <c r="C9" s="1">
        <v>4121393</v>
      </c>
      <c r="D9" s="1">
        <v>153072</v>
      </c>
      <c r="E9" s="1">
        <v>1179432</v>
      </c>
      <c r="F9">
        <f t="shared" si="0"/>
        <v>3.7140840487670065E-2</v>
      </c>
      <c r="G9">
        <f t="shared" si="1"/>
        <v>0.28617314582715114</v>
      </c>
      <c r="H9">
        <f>Table1[[#This Row],[Normalised LC3-II]]/Table1[[#This Row],[Normalised LC3-I]]</f>
        <v>7.7050799623706494</v>
      </c>
    </row>
    <row r="10" spans="1:8" x14ac:dyDescent="0.25">
      <c r="A10">
        <v>9</v>
      </c>
      <c r="B10">
        <v>8.9</v>
      </c>
      <c r="C10" s="1">
        <v>4485046</v>
      </c>
      <c r="D10" s="1">
        <v>180432</v>
      </c>
      <c r="E10" s="1">
        <v>1211832</v>
      </c>
      <c r="F10">
        <f t="shared" si="0"/>
        <v>4.0229687722266393E-2</v>
      </c>
      <c r="G10">
        <f t="shared" si="1"/>
        <v>0.27019388429906849</v>
      </c>
      <c r="H10">
        <f>Table1[[#This Row],[Normalised LC3-II]]/Table1[[#This Row],[Normalised LC3-I]]</f>
        <v>6.7162809257781326</v>
      </c>
    </row>
    <row r="12" spans="1:8" x14ac:dyDescent="0.25">
      <c r="C12" t="s">
        <v>7</v>
      </c>
      <c r="D12" s="3" t="s">
        <v>5</v>
      </c>
      <c r="E12" s="3" t="s">
        <v>6</v>
      </c>
      <c r="F12" s="4" t="s">
        <v>8</v>
      </c>
    </row>
    <row r="13" spans="1:8" x14ac:dyDescent="0.25">
      <c r="C13">
        <v>0</v>
      </c>
      <c r="D13">
        <f>AVERAGE(F2:F4)</f>
        <v>0.13665544582601424</v>
      </c>
      <c r="E13">
        <f>AVERAGE(G2:G4)</f>
        <v>1.2217763834706994</v>
      </c>
      <c r="F13">
        <f>AVERAGE(H2:H4)</f>
        <v>9.3443737855445601</v>
      </c>
    </row>
    <row r="14" spans="1:8" x14ac:dyDescent="0.25">
      <c r="C14">
        <v>200</v>
      </c>
      <c r="D14">
        <f>AVERAGE(F5:F7)</f>
        <v>7.5722822122278335E-2</v>
      </c>
      <c r="E14">
        <f>AVERAGE(G5:G7)</f>
        <v>0.57557840737136967</v>
      </c>
      <c r="F14">
        <f>AVERAGE(H5:H7)</f>
        <v>8.2249978509927573</v>
      </c>
    </row>
    <row r="15" spans="1:8" x14ac:dyDescent="0.25">
      <c r="C15">
        <v>800</v>
      </c>
      <c r="D15">
        <f>AVERAGE(F8:F10)</f>
        <v>4.2146112654579564E-2</v>
      </c>
      <c r="E15">
        <f>AVERAGE(G8:G10)</f>
        <v>0.36435629069163739</v>
      </c>
      <c r="F15">
        <f>AVERAGE(H8:H10)</f>
        <v>8.4531076527409041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DAAD-CE3E-4805-9C93-765D31B0AE30}">
  <dimension ref="A1:D4"/>
  <sheetViews>
    <sheetView tabSelected="1" workbookViewId="0">
      <selection activeCell="C27" sqref="C27"/>
    </sheetView>
  </sheetViews>
  <sheetFormatPr defaultRowHeight="15" x14ac:dyDescent="0.25"/>
  <cols>
    <col min="2" max="2" width="17.85546875" customWidth="1"/>
    <col min="3" max="3" width="18.7109375" customWidth="1"/>
    <col min="4" max="4" width="19.85546875" customWidth="1"/>
  </cols>
  <sheetData>
    <row r="1" spans="1:4" x14ac:dyDescent="0.25">
      <c r="A1" t="s">
        <v>9</v>
      </c>
      <c r="B1" t="s">
        <v>5</v>
      </c>
      <c r="C1" t="s">
        <v>6</v>
      </c>
      <c r="D1" t="s">
        <v>8</v>
      </c>
    </row>
    <row r="2" spans="1:4" x14ac:dyDescent="0.25">
      <c r="A2">
        <v>0</v>
      </c>
      <c r="B2">
        <v>0.13665544582601424</v>
      </c>
      <c r="C2">
        <v>1.2217763834706994</v>
      </c>
      <c r="D2">
        <v>9.3443737855445601</v>
      </c>
    </row>
    <row r="3" spans="1:4" x14ac:dyDescent="0.25">
      <c r="A3">
        <v>200</v>
      </c>
      <c r="B3">
        <v>7.5722822122278335E-2</v>
      </c>
      <c r="C3">
        <v>0.57557840737136967</v>
      </c>
      <c r="D3">
        <v>8.2249978509927573</v>
      </c>
    </row>
    <row r="4" spans="1:4" x14ac:dyDescent="0.25">
      <c r="A4">
        <v>800</v>
      </c>
      <c r="B4">
        <v>4.2146112654579564E-2</v>
      </c>
      <c r="C4">
        <v>0.36435629069163739</v>
      </c>
      <c r="D4">
        <v>8.4531076527409041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Formulae</vt:lpstr>
      <vt:lpstr>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2021-11-01T10:56:39Z</dcterms:created>
  <dcterms:modified xsi:type="dcterms:W3CDTF">2021-12-06T15:34:11Z</dcterms:modified>
</cp:coreProperties>
</file>