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"/>
    </mc:Choice>
  </mc:AlternateContent>
  <xr:revisionPtr revIDLastSave="52" documentId="8_{619C3254-DB16-4C4E-B570-46E3793AD0F7}" xr6:coauthVersionLast="47" xr6:coauthVersionMax="47" xr10:uidLastSave="{286082B8-2A87-46A5-8837-AC8D3DFAA484}"/>
  <bookViews>
    <workbookView xWindow="9765" yWindow="3810" windowWidth="27750" windowHeight="15375" xr2:uid="{00000000-000D-0000-FFFF-FFFF00000000}"/>
  </bookViews>
  <sheets>
    <sheet name="GC data" sheetId="3" r:id="rId1"/>
    <sheet name="TTRs 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3" l="1"/>
  <c r="AE6" i="3"/>
  <c r="AE7" i="3"/>
  <c r="AE8" i="3"/>
  <c r="AE9" i="3"/>
  <c r="AE11" i="3"/>
  <c r="AE12" i="3"/>
  <c r="AE14" i="3"/>
  <c r="AE15" i="3"/>
  <c r="AE17" i="3"/>
  <c r="AE18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7" i="3"/>
  <c r="AE38" i="3"/>
  <c r="AE39" i="3"/>
  <c r="AG5" i="3"/>
  <c r="AG6" i="3"/>
  <c r="AG39" i="3" s="1"/>
  <c r="AG7" i="3"/>
  <c r="AG8" i="3"/>
  <c r="AG9" i="3"/>
  <c r="AG11" i="3"/>
  <c r="AG12" i="3"/>
  <c r="AG14" i="3"/>
  <c r="AG15" i="3"/>
  <c r="AG17" i="3"/>
  <c r="AG18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7" i="3"/>
  <c r="AG38" i="3"/>
  <c r="AF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AV7" i="3"/>
  <c r="AH11" i="3"/>
  <c r="AT14" i="3"/>
  <c r="AF18" i="3"/>
  <c r="AR21" i="3"/>
  <c r="BD23" i="3"/>
  <c r="AP26" i="3"/>
  <c r="BE27" i="3"/>
  <c r="BB28" i="3"/>
  <c r="AU29" i="3"/>
  <c r="AQ30" i="3"/>
  <c r="AN31" i="3"/>
  <c r="BC32" i="3"/>
  <c r="AZ33" i="3"/>
  <c r="AS34" i="3"/>
  <c r="AO35" i="3"/>
  <c r="BE35" i="3"/>
  <c r="AM37" i="3"/>
  <c r="AU37" i="3"/>
  <c r="AV37" i="3"/>
  <c r="BC37" i="3"/>
  <c r="BD37" i="3"/>
  <c r="AK38" i="3"/>
  <c r="AL38" i="3"/>
  <c r="AO38" i="3"/>
  <c r="AS38" i="3"/>
  <c r="AT38" i="3"/>
  <c r="AW38" i="3"/>
  <c r="BA38" i="3"/>
  <c r="BB38" i="3"/>
  <c r="BE38" i="3"/>
  <c r="CH5" i="3"/>
  <c r="DK5" i="3" s="1"/>
  <c r="CE5" i="3"/>
  <c r="DH5" i="3" s="1"/>
  <c r="CF5" i="3"/>
  <c r="DI5" i="3" s="1"/>
  <c r="CG5" i="3"/>
  <c r="DJ5" i="3" s="1"/>
  <c r="BK5" i="3"/>
  <c r="BL5" i="3"/>
  <c r="BM5" i="3"/>
  <c r="BN5" i="3"/>
  <c r="BO5" i="3"/>
  <c r="BP5" i="3"/>
  <c r="BQ5" i="3"/>
  <c r="BR5" i="3"/>
  <c r="BS5" i="3"/>
  <c r="BU5" i="3"/>
  <c r="CX5" i="3" s="1"/>
  <c r="BY5" i="3"/>
  <c r="DB5" i="3" s="1"/>
  <c r="BZ5" i="3"/>
  <c r="DC5" i="3" s="1"/>
  <c r="CA5" i="3"/>
  <c r="DD5" i="3" s="1"/>
  <c r="CB5" i="3"/>
  <c r="DE5" i="3" s="1"/>
  <c r="CC5" i="3"/>
  <c r="DF5" i="3" s="1"/>
  <c r="CD5" i="3"/>
  <c r="DG5" i="3" s="1"/>
  <c r="E3" i="3"/>
  <c r="AN7" i="3" s="1"/>
  <c r="E4" i="3"/>
  <c r="AZ38" i="3" l="1"/>
  <c r="AR38" i="3"/>
  <c r="AJ38" i="3"/>
  <c r="BB37" i="3"/>
  <c r="AT37" i="3"/>
  <c r="AL37" i="3"/>
  <c r="BD35" i="3"/>
  <c r="AN35" i="3"/>
  <c r="AQ34" i="3"/>
  <c r="AU33" i="3"/>
  <c r="BB32" i="3"/>
  <c r="BE31" i="3"/>
  <c r="AI31" i="3"/>
  <c r="AP30" i="3"/>
  <c r="AS29" i="3"/>
  <c r="AW28" i="3"/>
  <c r="BD27" i="3"/>
  <c r="AH26" i="3"/>
  <c r="AV23" i="3"/>
  <c r="AJ21" i="3"/>
  <c r="AX17" i="3"/>
  <c r="AL14" i="3"/>
  <c r="AZ9" i="3"/>
  <c r="AI6" i="3"/>
  <c r="AQ6" i="3"/>
  <c r="AY6" i="3"/>
  <c r="AO7" i="3"/>
  <c r="AW7" i="3"/>
  <c r="BE7" i="3"/>
  <c r="AM8" i="3"/>
  <c r="AU8" i="3"/>
  <c r="BC8" i="3"/>
  <c r="AK9" i="3"/>
  <c r="AS9" i="3"/>
  <c r="BA9" i="3"/>
  <c r="AI11" i="3"/>
  <c r="AQ11" i="3"/>
  <c r="AY11" i="3"/>
  <c r="AO12" i="3"/>
  <c r="AW12" i="3"/>
  <c r="BE12" i="3"/>
  <c r="AM14" i="3"/>
  <c r="AU14" i="3"/>
  <c r="BC14" i="3"/>
  <c r="AK15" i="3"/>
  <c r="AS15" i="3"/>
  <c r="BA15" i="3"/>
  <c r="AI17" i="3"/>
  <c r="AQ17" i="3"/>
  <c r="AY17" i="3"/>
  <c r="AO18" i="3"/>
  <c r="AW18" i="3"/>
  <c r="BE18" i="3"/>
  <c r="AM20" i="3"/>
  <c r="AU20" i="3"/>
  <c r="BC20" i="3"/>
  <c r="AK21" i="3"/>
  <c r="AS21" i="3"/>
  <c r="BA21" i="3"/>
  <c r="AI22" i="3"/>
  <c r="AQ22" i="3"/>
  <c r="AY22" i="3"/>
  <c r="AO23" i="3"/>
  <c r="AW23" i="3"/>
  <c r="BE23" i="3"/>
  <c r="AM24" i="3"/>
  <c r="AU24" i="3"/>
  <c r="BC24" i="3"/>
  <c r="AK25" i="3"/>
  <c r="AS25" i="3"/>
  <c r="BA25" i="3"/>
  <c r="AI26" i="3"/>
  <c r="AQ26" i="3"/>
  <c r="AY26" i="3"/>
  <c r="AO27" i="3"/>
  <c r="AJ6" i="3"/>
  <c r="AR6" i="3"/>
  <c r="AZ6" i="3"/>
  <c r="AH7" i="3"/>
  <c r="AP7" i="3"/>
  <c r="AX7" i="3"/>
  <c r="AF8" i="3"/>
  <c r="AN8" i="3"/>
  <c r="AV8" i="3"/>
  <c r="BD8" i="3"/>
  <c r="AL9" i="3"/>
  <c r="AT9" i="3"/>
  <c r="BB9" i="3"/>
  <c r="AJ11" i="3"/>
  <c r="AR11" i="3"/>
  <c r="AZ11" i="3"/>
  <c r="AH12" i="3"/>
  <c r="AP12" i="3"/>
  <c r="AX12" i="3"/>
  <c r="AF14" i="3"/>
  <c r="AN14" i="3"/>
  <c r="AV14" i="3"/>
  <c r="BD14" i="3"/>
  <c r="AL15" i="3"/>
  <c r="AT15" i="3"/>
  <c r="BB15" i="3"/>
  <c r="AJ17" i="3"/>
  <c r="AR17" i="3"/>
  <c r="AZ17" i="3"/>
  <c r="AH18" i="3"/>
  <c r="AP18" i="3"/>
  <c r="AX18" i="3"/>
  <c r="AF20" i="3"/>
  <c r="AN20" i="3"/>
  <c r="AV20" i="3"/>
  <c r="BD20" i="3"/>
  <c r="AL21" i="3"/>
  <c r="AT21" i="3"/>
  <c r="BB21" i="3"/>
  <c r="AJ22" i="3"/>
  <c r="AR22" i="3"/>
  <c r="AZ22" i="3"/>
  <c r="AH23" i="3"/>
  <c r="AP23" i="3"/>
  <c r="AX23" i="3"/>
  <c r="AF24" i="3"/>
  <c r="AN24" i="3"/>
  <c r="AV24" i="3"/>
  <c r="BD24" i="3"/>
  <c r="AL25" i="3"/>
  <c r="AT25" i="3"/>
  <c r="BB25" i="3"/>
  <c r="AJ26" i="3"/>
  <c r="AR26" i="3"/>
  <c r="AZ26" i="3"/>
  <c r="AH27" i="3"/>
  <c r="AP27" i="3"/>
  <c r="AX27" i="3"/>
  <c r="AF28" i="3"/>
  <c r="AN28" i="3"/>
  <c r="AV28" i="3"/>
  <c r="BD28" i="3"/>
  <c r="AL29" i="3"/>
  <c r="AT29" i="3"/>
  <c r="BB29" i="3"/>
  <c r="AJ30" i="3"/>
  <c r="AR30" i="3"/>
  <c r="AZ30" i="3"/>
  <c r="AH31" i="3"/>
  <c r="AP31" i="3"/>
  <c r="AX31" i="3"/>
  <c r="AF32" i="3"/>
  <c r="AN32" i="3"/>
  <c r="AV32" i="3"/>
  <c r="BD32" i="3"/>
  <c r="AL33" i="3"/>
  <c r="AT33" i="3"/>
  <c r="BB33" i="3"/>
  <c r="AJ34" i="3"/>
  <c r="AR34" i="3"/>
  <c r="AZ34" i="3"/>
  <c r="AH35" i="3"/>
  <c r="AP35" i="3"/>
  <c r="AX35" i="3"/>
  <c r="AK6" i="3"/>
  <c r="AS6" i="3"/>
  <c r="BA6" i="3"/>
  <c r="AI7" i="3"/>
  <c r="AQ7" i="3"/>
  <c r="AY7" i="3"/>
  <c r="AO8" i="3"/>
  <c r="AW8" i="3"/>
  <c r="BE8" i="3"/>
  <c r="AM9" i="3"/>
  <c r="AU9" i="3"/>
  <c r="BC9" i="3"/>
  <c r="AK11" i="3"/>
  <c r="AS11" i="3"/>
  <c r="BA11" i="3"/>
  <c r="AI12" i="3"/>
  <c r="AQ12" i="3"/>
  <c r="AY12" i="3"/>
  <c r="AO14" i="3"/>
  <c r="AW14" i="3"/>
  <c r="BE14" i="3"/>
  <c r="AM15" i="3"/>
  <c r="AU15" i="3"/>
  <c r="BC15" i="3"/>
  <c r="AK17" i="3"/>
  <c r="AS17" i="3"/>
  <c r="BA17" i="3"/>
  <c r="AI18" i="3"/>
  <c r="AQ18" i="3"/>
  <c r="AY18" i="3"/>
  <c r="AO20" i="3"/>
  <c r="AW20" i="3"/>
  <c r="BE20" i="3"/>
  <c r="AM21" i="3"/>
  <c r="AU21" i="3"/>
  <c r="BC21" i="3"/>
  <c r="AK22" i="3"/>
  <c r="AS22" i="3"/>
  <c r="BA22" i="3"/>
  <c r="AI23" i="3"/>
  <c r="AQ23" i="3"/>
  <c r="AY23" i="3"/>
  <c r="AO24" i="3"/>
  <c r="AW24" i="3"/>
  <c r="BE24" i="3"/>
  <c r="AM25" i="3"/>
  <c r="AU25" i="3"/>
  <c r="BC25" i="3"/>
  <c r="AK26" i="3"/>
  <c r="AS26" i="3"/>
  <c r="BA26" i="3"/>
  <c r="AI27" i="3"/>
  <c r="AQ27" i="3"/>
  <c r="AL6" i="3"/>
  <c r="AT6" i="3"/>
  <c r="BB6" i="3"/>
  <c r="AJ7" i="3"/>
  <c r="AR7" i="3"/>
  <c r="AZ7" i="3"/>
  <c r="AH8" i="3"/>
  <c r="AP8" i="3"/>
  <c r="AX8" i="3"/>
  <c r="AF9" i="3"/>
  <c r="AN9" i="3"/>
  <c r="AV9" i="3"/>
  <c r="BD9" i="3"/>
  <c r="AL11" i="3"/>
  <c r="AT11" i="3"/>
  <c r="BB11" i="3"/>
  <c r="AJ12" i="3"/>
  <c r="AR12" i="3"/>
  <c r="AZ12" i="3"/>
  <c r="AH14" i="3"/>
  <c r="AP14" i="3"/>
  <c r="AX14" i="3"/>
  <c r="AF15" i="3"/>
  <c r="AN15" i="3"/>
  <c r="AV15" i="3"/>
  <c r="BD15" i="3"/>
  <c r="AL17" i="3"/>
  <c r="AT17" i="3"/>
  <c r="BB17" i="3"/>
  <c r="AJ18" i="3"/>
  <c r="AR18" i="3"/>
  <c r="AZ18" i="3"/>
  <c r="AH20" i="3"/>
  <c r="AP20" i="3"/>
  <c r="AX20" i="3"/>
  <c r="AF21" i="3"/>
  <c r="AN21" i="3"/>
  <c r="AV21" i="3"/>
  <c r="BD21" i="3"/>
  <c r="AL22" i="3"/>
  <c r="AT22" i="3"/>
  <c r="BB22" i="3"/>
  <c r="AJ23" i="3"/>
  <c r="AR23" i="3"/>
  <c r="AZ23" i="3"/>
  <c r="AH24" i="3"/>
  <c r="AP24" i="3"/>
  <c r="AX24" i="3"/>
  <c r="AF25" i="3"/>
  <c r="AN25" i="3"/>
  <c r="AV25" i="3"/>
  <c r="BD25" i="3"/>
  <c r="AL26" i="3"/>
  <c r="AT26" i="3"/>
  <c r="BB26" i="3"/>
  <c r="AJ27" i="3"/>
  <c r="AR27" i="3"/>
  <c r="AZ27" i="3"/>
  <c r="AH28" i="3"/>
  <c r="AP28" i="3"/>
  <c r="AX28" i="3"/>
  <c r="AF29" i="3"/>
  <c r="AN29" i="3"/>
  <c r="AV29" i="3"/>
  <c r="BD29" i="3"/>
  <c r="AL30" i="3"/>
  <c r="AT30" i="3"/>
  <c r="BB30" i="3"/>
  <c r="AJ31" i="3"/>
  <c r="AR31" i="3"/>
  <c r="AZ31" i="3"/>
  <c r="AH32" i="3"/>
  <c r="AP32" i="3"/>
  <c r="AX32" i="3"/>
  <c r="AF33" i="3"/>
  <c r="AN33" i="3"/>
  <c r="AV33" i="3"/>
  <c r="BD33" i="3"/>
  <c r="AL34" i="3"/>
  <c r="AT34" i="3"/>
  <c r="BB34" i="3"/>
  <c r="AJ35" i="3"/>
  <c r="AR35" i="3"/>
  <c r="AZ35" i="3"/>
  <c r="AM6" i="3"/>
  <c r="AU6" i="3"/>
  <c r="BC6" i="3"/>
  <c r="AK7" i="3"/>
  <c r="AS7" i="3"/>
  <c r="BA7" i="3"/>
  <c r="AI8" i="3"/>
  <c r="AQ8" i="3"/>
  <c r="AY8" i="3"/>
  <c r="AO9" i="3"/>
  <c r="AW9" i="3"/>
  <c r="BE9" i="3"/>
  <c r="AM11" i="3"/>
  <c r="AU11" i="3"/>
  <c r="BC11" i="3"/>
  <c r="AK12" i="3"/>
  <c r="AS12" i="3"/>
  <c r="BA12" i="3"/>
  <c r="AI14" i="3"/>
  <c r="AQ14" i="3"/>
  <c r="AY14" i="3"/>
  <c r="AO15" i="3"/>
  <c r="AW15" i="3"/>
  <c r="BE15" i="3"/>
  <c r="AM17" i="3"/>
  <c r="AU17" i="3"/>
  <c r="BC17" i="3"/>
  <c r="AK18" i="3"/>
  <c r="AS18" i="3"/>
  <c r="BA18" i="3"/>
  <c r="AI20" i="3"/>
  <c r="AQ20" i="3"/>
  <c r="AY20" i="3"/>
  <c r="AO21" i="3"/>
  <c r="AW21" i="3"/>
  <c r="BE21" i="3"/>
  <c r="AM22" i="3"/>
  <c r="AU22" i="3"/>
  <c r="BC22" i="3"/>
  <c r="AK23" i="3"/>
  <c r="AS23" i="3"/>
  <c r="BA23" i="3"/>
  <c r="AI24" i="3"/>
  <c r="AQ24" i="3"/>
  <c r="AY24" i="3"/>
  <c r="AO25" i="3"/>
  <c r="AW25" i="3"/>
  <c r="BE25" i="3"/>
  <c r="AM26" i="3"/>
  <c r="AU26" i="3"/>
  <c r="BC26" i="3"/>
  <c r="AK27" i="3"/>
  <c r="AS27" i="3"/>
  <c r="BA27" i="3"/>
  <c r="AI28" i="3"/>
  <c r="AQ28" i="3"/>
  <c r="AY28" i="3"/>
  <c r="AO29" i="3"/>
  <c r="AW29" i="3"/>
  <c r="BE29" i="3"/>
  <c r="AM30" i="3"/>
  <c r="AU30" i="3"/>
  <c r="BC30" i="3"/>
  <c r="AK31" i="3"/>
  <c r="AS31" i="3"/>
  <c r="BA31" i="3"/>
  <c r="AI32" i="3"/>
  <c r="AQ32" i="3"/>
  <c r="AY32" i="3"/>
  <c r="AO33" i="3"/>
  <c r="AW33" i="3"/>
  <c r="BE33" i="3"/>
  <c r="AM34" i="3"/>
  <c r="AU34" i="3"/>
  <c r="BC34" i="3"/>
  <c r="AK35" i="3"/>
  <c r="AS35" i="3"/>
  <c r="BA35" i="3"/>
  <c r="AF6" i="3"/>
  <c r="AN6" i="3"/>
  <c r="AV6" i="3"/>
  <c r="BD6" i="3"/>
  <c r="AL7" i="3"/>
  <c r="AT7" i="3"/>
  <c r="BB7" i="3"/>
  <c r="AJ8" i="3"/>
  <c r="AR8" i="3"/>
  <c r="AZ8" i="3"/>
  <c r="AH9" i="3"/>
  <c r="AP9" i="3"/>
  <c r="AX9" i="3"/>
  <c r="AF11" i="3"/>
  <c r="AN11" i="3"/>
  <c r="AV11" i="3"/>
  <c r="BD11" i="3"/>
  <c r="AL12" i="3"/>
  <c r="AT12" i="3"/>
  <c r="BB12" i="3"/>
  <c r="AJ14" i="3"/>
  <c r="AR14" i="3"/>
  <c r="AZ14" i="3"/>
  <c r="AH15" i="3"/>
  <c r="AP15" i="3"/>
  <c r="AX15" i="3"/>
  <c r="AF17" i="3"/>
  <c r="AN17" i="3"/>
  <c r="AV17" i="3"/>
  <c r="BD17" i="3"/>
  <c r="AL18" i="3"/>
  <c r="AT18" i="3"/>
  <c r="BB18" i="3"/>
  <c r="AJ20" i="3"/>
  <c r="AR20" i="3"/>
  <c r="AZ20" i="3"/>
  <c r="AH21" i="3"/>
  <c r="AP21" i="3"/>
  <c r="AX21" i="3"/>
  <c r="AF22" i="3"/>
  <c r="AN22" i="3"/>
  <c r="AV22" i="3"/>
  <c r="BD22" i="3"/>
  <c r="AL23" i="3"/>
  <c r="AT23" i="3"/>
  <c r="BB23" i="3"/>
  <c r="AJ24" i="3"/>
  <c r="AR24" i="3"/>
  <c r="AZ24" i="3"/>
  <c r="AH25" i="3"/>
  <c r="AP25" i="3"/>
  <c r="AX25" i="3"/>
  <c r="AF26" i="3"/>
  <c r="AN26" i="3"/>
  <c r="AV26" i="3"/>
  <c r="BD26" i="3"/>
  <c r="AL27" i="3"/>
  <c r="AT27" i="3"/>
  <c r="BB27" i="3"/>
  <c r="AJ28" i="3"/>
  <c r="AR28" i="3"/>
  <c r="AZ28" i="3"/>
  <c r="AH29" i="3"/>
  <c r="AP29" i="3"/>
  <c r="AX29" i="3"/>
  <c r="AF30" i="3"/>
  <c r="AN30" i="3"/>
  <c r="AV30" i="3"/>
  <c r="BD30" i="3"/>
  <c r="AL31" i="3"/>
  <c r="AT31" i="3"/>
  <c r="BB31" i="3"/>
  <c r="AJ32" i="3"/>
  <c r="AR32" i="3"/>
  <c r="AZ32" i="3"/>
  <c r="AH33" i="3"/>
  <c r="AP33" i="3"/>
  <c r="AX33" i="3"/>
  <c r="AF34" i="3"/>
  <c r="AN34" i="3"/>
  <c r="AV34" i="3"/>
  <c r="BD34" i="3"/>
  <c r="AL35" i="3"/>
  <c r="AT35" i="3"/>
  <c r="AO6" i="3"/>
  <c r="AW6" i="3"/>
  <c r="BE6" i="3"/>
  <c r="AM7" i="3"/>
  <c r="AU7" i="3"/>
  <c r="BC7" i="3"/>
  <c r="AK8" i="3"/>
  <c r="AS8" i="3"/>
  <c r="BA8" i="3"/>
  <c r="AI9" i="3"/>
  <c r="AQ9" i="3"/>
  <c r="AY9" i="3"/>
  <c r="AO11" i="3"/>
  <c r="AW11" i="3"/>
  <c r="BE11" i="3"/>
  <c r="AM12" i="3"/>
  <c r="AU12" i="3"/>
  <c r="BC12" i="3"/>
  <c r="AK14" i="3"/>
  <c r="AS14" i="3"/>
  <c r="BA14" i="3"/>
  <c r="AI15" i="3"/>
  <c r="AQ15" i="3"/>
  <c r="AY15" i="3"/>
  <c r="AO17" i="3"/>
  <c r="AW17" i="3"/>
  <c r="BE17" i="3"/>
  <c r="AM18" i="3"/>
  <c r="AU18" i="3"/>
  <c r="BC18" i="3"/>
  <c r="AK20" i="3"/>
  <c r="AS20" i="3"/>
  <c r="BA20" i="3"/>
  <c r="AI21" i="3"/>
  <c r="AQ21" i="3"/>
  <c r="AY21" i="3"/>
  <c r="AO22" i="3"/>
  <c r="AW22" i="3"/>
  <c r="BE22" i="3"/>
  <c r="AM23" i="3"/>
  <c r="AU23" i="3"/>
  <c r="BC23" i="3"/>
  <c r="AK24" i="3"/>
  <c r="AS24" i="3"/>
  <c r="BA24" i="3"/>
  <c r="AI25" i="3"/>
  <c r="AQ25" i="3"/>
  <c r="AY25" i="3"/>
  <c r="AO26" i="3"/>
  <c r="AW26" i="3"/>
  <c r="BE26" i="3"/>
  <c r="AM27" i="3"/>
  <c r="AU27" i="3"/>
  <c r="BC27" i="3"/>
  <c r="AK28" i="3"/>
  <c r="AS28" i="3"/>
  <c r="BA28" i="3"/>
  <c r="AI29" i="3"/>
  <c r="AQ29" i="3"/>
  <c r="AY29" i="3"/>
  <c r="AO30" i="3"/>
  <c r="AW30" i="3"/>
  <c r="BE30" i="3"/>
  <c r="AM31" i="3"/>
  <c r="AU31" i="3"/>
  <c r="BC31" i="3"/>
  <c r="AK32" i="3"/>
  <c r="AS32" i="3"/>
  <c r="BA32" i="3"/>
  <c r="AI33" i="3"/>
  <c r="AQ33" i="3"/>
  <c r="AY33" i="3"/>
  <c r="AO34" i="3"/>
  <c r="AW34" i="3"/>
  <c r="BE34" i="3"/>
  <c r="AM35" i="3"/>
  <c r="AU35" i="3"/>
  <c r="AY38" i="3"/>
  <c r="AQ38" i="3"/>
  <c r="AI38" i="3"/>
  <c r="BA37" i="3"/>
  <c r="AS37" i="3"/>
  <c r="AK37" i="3"/>
  <c r="BC35" i="3"/>
  <c r="AI35" i="3"/>
  <c r="AP34" i="3"/>
  <c r="AS33" i="3"/>
  <c r="AW32" i="3"/>
  <c r="BD31" i="3"/>
  <c r="AK30" i="3"/>
  <c r="AR29" i="3"/>
  <c r="AU28" i="3"/>
  <c r="AY27" i="3"/>
  <c r="AZ25" i="3"/>
  <c r="AN23" i="3"/>
  <c r="BB20" i="3"/>
  <c r="AP17" i="3"/>
  <c r="BD12" i="3"/>
  <c r="AR9" i="3"/>
  <c r="AF7" i="3"/>
  <c r="AX38" i="3"/>
  <c r="AP38" i="3"/>
  <c r="AH38" i="3"/>
  <c r="AZ37" i="3"/>
  <c r="AR37" i="3"/>
  <c r="AJ37" i="3"/>
  <c r="BB35" i="3"/>
  <c r="AK34" i="3"/>
  <c r="AR33" i="3"/>
  <c r="AU32" i="3"/>
  <c r="AY31" i="3"/>
  <c r="AF31" i="3"/>
  <c r="AI30" i="3"/>
  <c r="AM29" i="3"/>
  <c r="AT28" i="3"/>
  <c r="AW27" i="3"/>
  <c r="AR25" i="3"/>
  <c r="AF23" i="3"/>
  <c r="AT20" i="3"/>
  <c r="AH17" i="3"/>
  <c r="AV12" i="3"/>
  <c r="AJ9" i="3"/>
  <c r="AX6" i="3"/>
  <c r="AY37" i="3"/>
  <c r="AQ37" i="3"/>
  <c r="AI37" i="3"/>
  <c r="AY35" i="3"/>
  <c r="AF35" i="3"/>
  <c r="AI34" i="3"/>
  <c r="AM33" i="3"/>
  <c r="AT32" i="3"/>
  <c r="AW31" i="3"/>
  <c r="BA30" i="3"/>
  <c r="AH30" i="3"/>
  <c r="AK29" i="3"/>
  <c r="AO28" i="3"/>
  <c r="AV27" i="3"/>
  <c r="AJ25" i="3"/>
  <c r="AX22" i="3"/>
  <c r="AL20" i="3"/>
  <c r="AZ15" i="3"/>
  <c r="AN12" i="3"/>
  <c r="BB8" i="3"/>
  <c r="AP6" i="3"/>
  <c r="BD38" i="3"/>
  <c r="AV38" i="3"/>
  <c r="AN38" i="3"/>
  <c r="AF38" i="3"/>
  <c r="AX37" i="3"/>
  <c r="AP37" i="3"/>
  <c r="AH37" i="3"/>
  <c r="AW35" i="3"/>
  <c r="BA34" i="3"/>
  <c r="AH34" i="3"/>
  <c r="AK33" i="3"/>
  <c r="AO32" i="3"/>
  <c r="AV31" i="3"/>
  <c r="AY30" i="3"/>
  <c r="BC29" i="3"/>
  <c r="AJ29" i="3"/>
  <c r="AM28" i="3"/>
  <c r="AN27" i="3"/>
  <c r="BB24" i="3"/>
  <c r="AP22" i="3"/>
  <c r="BD18" i="3"/>
  <c r="AR15" i="3"/>
  <c r="AF12" i="3"/>
  <c r="AT8" i="3"/>
  <c r="AH6" i="3"/>
  <c r="BC38" i="3"/>
  <c r="AU38" i="3"/>
  <c r="AM38" i="3"/>
  <c r="BE37" i="3"/>
  <c r="AW37" i="3"/>
  <c r="AO37" i="3"/>
  <c r="AV35" i="3"/>
  <c r="AY34" i="3"/>
  <c r="BC33" i="3"/>
  <c r="AJ33" i="3"/>
  <c r="AM32" i="3"/>
  <c r="AQ31" i="3"/>
  <c r="AX30" i="3"/>
  <c r="BA29" i="3"/>
  <c r="BE28" i="3"/>
  <c r="AL28" i="3"/>
  <c r="AF27" i="3"/>
  <c r="AT24" i="3"/>
  <c r="AH22" i="3"/>
  <c r="AV18" i="3"/>
  <c r="AJ15" i="3"/>
  <c r="AX11" i="3"/>
  <c r="AL8" i="3"/>
  <c r="AN37" i="3"/>
  <c r="AF37" i="3"/>
  <c r="AQ35" i="3"/>
  <c r="AX34" i="3"/>
  <c r="BA33" i="3"/>
  <c r="BE32" i="3"/>
  <c r="AL32" i="3"/>
  <c r="AO31" i="3"/>
  <c r="AS30" i="3"/>
  <c r="AZ29" i="3"/>
  <c r="BC28" i="3"/>
  <c r="AX26" i="3"/>
  <c r="AL24" i="3"/>
  <c r="AZ21" i="3"/>
  <c r="AN18" i="3"/>
  <c r="BB14" i="3"/>
  <c r="AP11" i="3"/>
  <c r="BD7" i="3"/>
  <c r="BX5" i="3"/>
  <c r="DA5" i="3" s="1"/>
  <c r="BW5" i="3"/>
  <c r="CZ5" i="3" s="1"/>
  <c r="E40" i="3"/>
  <c r="BV5" i="3"/>
  <c r="CY5" i="3" s="1"/>
  <c r="BT5" i="3"/>
  <c r="CW5" i="3" s="1"/>
  <c r="D40" i="3"/>
  <c r="C40" i="3"/>
  <c r="R40" i="3"/>
  <c r="AA40" i="3"/>
  <c r="U40" i="3"/>
  <c r="Z40" i="3"/>
  <c r="S40" i="3"/>
  <c r="T40" i="3"/>
  <c r="V40" i="3"/>
  <c r="W40" i="3"/>
  <c r="X40" i="3"/>
  <c r="Y40" i="3"/>
  <c r="N40" i="3"/>
  <c r="O40" i="3"/>
  <c r="P40" i="3"/>
  <c r="Q40" i="3"/>
  <c r="CH17" i="3" l="1"/>
  <c r="CG34" i="3"/>
  <c r="AN39" i="3"/>
  <c r="CE22" i="3"/>
  <c r="AT39" i="3"/>
  <c r="BA39" i="3"/>
  <c r="CE21" i="3"/>
  <c r="AV39" i="3"/>
  <c r="BY9" i="3" s="1"/>
  <c r="CH20" i="3"/>
  <c r="AF39" i="3"/>
  <c r="AL39" i="3"/>
  <c r="AS39" i="3"/>
  <c r="CE33" i="3"/>
  <c r="CG22" i="3"/>
  <c r="BB39" i="3"/>
  <c r="CE18" i="3" s="1"/>
  <c r="CE6" i="3"/>
  <c r="AX39" i="3"/>
  <c r="CA17" i="3" s="1"/>
  <c r="BE39" i="3"/>
  <c r="CH33" i="3" s="1"/>
  <c r="CE31" i="3"/>
  <c r="CG26" i="3"/>
  <c r="CE11" i="3"/>
  <c r="AK39" i="3"/>
  <c r="AI39" i="3"/>
  <c r="CE24" i="3"/>
  <c r="CE14" i="3"/>
  <c r="CE35" i="3"/>
  <c r="AW39" i="3"/>
  <c r="CE7" i="3"/>
  <c r="BC39" i="3"/>
  <c r="CF17" i="3" s="1"/>
  <c r="CE26" i="3"/>
  <c r="CE25" i="3"/>
  <c r="CE37" i="3"/>
  <c r="CE27" i="3"/>
  <c r="CH28" i="3"/>
  <c r="AH39" i="3"/>
  <c r="CH34" i="3"/>
  <c r="AO39" i="3"/>
  <c r="CE23" i="3"/>
  <c r="CH15" i="3"/>
  <c r="AU39" i="3"/>
  <c r="BX29" i="3" s="1"/>
  <c r="CH14" i="3"/>
  <c r="AZ39" i="3"/>
  <c r="CC11" i="3" s="1"/>
  <c r="CH12" i="3"/>
  <c r="CE32" i="3"/>
  <c r="AP39" i="3"/>
  <c r="BS25" i="3" s="1"/>
  <c r="CH11" i="3"/>
  <c r="CH29" i="3"/>
  <c r="AM39" i="3"/>
  <c r="CE17" i="3"/>
  <c r="CG9" i="3"/>
  <c r="CE15" i="3"/>
  <c r="CG8" i="3"/>
  <c r="AR39" i="3"/>
  <c r="BU15" i="3" s="1"/>
  <c r="AY39" i="3"/>
  <c r="CE8" i="3"/>
  <c r="CE20" i="3"/>
  <c r="CE12" i="3"/>
  <c r="BD39" i="3"/>
  <c r="CG18" i="3" s="1"/>
  <c r="CG6" i="3"/>
  <c r="CF11" i="3"/>
  <c r="CE30" i="3"/>
  <c r="CE29" i="3"/>
  <c r="AJ39" i="3"/>
  <c r="AQ39" i="3"/>
  <c r="BT8" i="3" s="1"/>
  <c r="CG27" i="3"/>
  <c r="BW25" i="3"/>
  <c r="CD7" i="3"/>
  <c r="BW31" i="3"/>
  <c r="CB14" i="3"/>
  <c r="BZ11" i="3"/>
  <c r="BV35" i="3"/>
  <c r="G40" i="3"/>
  <c r="DK7" i="3" l="1"/>
  <c r="CF22" i="3"/>
  <c r="CF6" i="3"/>
  <c r="CF7" i="3"/>
  <c r="CF20" i="3"/>
  <c r="CG24" i="3"/>
  <c r="CF34" i="3"/>
  <c r="CH31" i="3"/>
  <c r="CH23" i="3"/>
  <c r="DK6" i="3" s="1"/>
  <c r="CF12" i="3"/>
  <c r="CE34" i="3"/>
  <c r="CF8" i="3"/>
  <c r="CF29" i="3"/>
  <c r="CG17" i="3"/>
  <c r="DJ7" i="3" s="1"/>
  <c r="CF25" i="3"/>
  <c r="CH26" i="3"/>
  <c r="CG30" i="3"/>
  <c r="CG32" i="3"/>
  <c r="CG20" i="3"/>
  <c r="CH22" i="3"/>
  <c r="CE9" i="3"/>
  <c r="CE40" i="3" s="1"/>
  <c r="CF9" i="3"/>
  <c r="CF31" i="3"/>
  <c r="CF35" i="3"/>
  <c r="CG11" i="3"/>
  <c r="CG25" i="3"/>
  <c r="CG31" i="3"/>
  <c r="DH7" i="3"/>
  <c r="CF18" i="3"/>
  <c r="CF21" i="3"/>
  <c r="CG38" i="3"/>
  <c r="CG21" i="3"/>
  <c r="CH24" i="3"/>
  <c r="CG14" i="3"/>
  <c r="CF26" i="3"/>
  <c r="CC37" i="3"/>
  <c r="CF14" i="3"/>
  <c r="CF37" i="3"/>
  <c r="CF32" i="3"/>
  <c r="CF38" i="3"/>
  <c r="CH9" i="3"/>
  <c r="CH38" i="3"/>
  <c r="CH6" i="3"/>
  <c r="CH7" i="3"/>
  <c r="CH27" i="3"/>
  <c r="CH8" i="3"/>
  <c r="CH35" i="3"/>
  <c r="CG28" i="3"/>
  <c r="CG35" i="3"/>
  <c r="CF33" i="3"/>
  <c r="CF24" i="3"/>
  <c r="CF15" i="3"/>
  <c r="DI7" i="3" s="1"/>
  <c r="CH30" i="3"/>
  <c r="CF23" i="3"/>
  <c r="DI6" i="3" s="1"/>
  <c r="DH6" i="3"/>
  <c r="CH25" i="3"/>
  <c r="CF28" i="3"/>
  <c r="CG37" i="3"/>
  <c r="CG23" i="3"/>
  <c r="DJ6" i="3" s="1"/>
  <c r="CH32" i="3"/>
  <c r="CH21" i="3"/>
  <c r="CG33" i="3"/>
  <c r="CG12" i="3"/>
  <c r="CF27" i="3"/>
  <c r="CH18" i="3"/>
  <c r="CF30" i="3"/>
  <c r="CE28" i="3"/>
  <c r="CE38" i="3"/>
  <c r="CG29" i="3"/>
  <c r="CG7" i="3"/>
  <c r="CG40" i="3" s="1"/>
  <c r="CG15" i="3"/>
  <c r="CH37" i="3"/>
  <c r="BU22" i="3"/>
  <c r="BV7" i="3"/>
  <c r="BS20" i="3"/>
  <c r="CD26" i="3"/>
  <c r="CD22" i="3"/>
  <c r="BT29" i="3"/>
  <c r="BU8" i="3"/>
  <c r="BV29" i="3"/>
  <c r="BU11" i="3"/>
  <c r="CD37" i="3"/>
  <c r="CC7" i="3"/>
  <c r="BZ14" i="3"/>
  <c r="BX24" i="3"/>
  <c r="BW33" i="3"/>
  <c r="BW35" i="3"/>
  <c r="CD32" i="3"/>
  <c r="BZ7" i="3"/>
  <c r="BV31" i="3"/>
  <c r="CD34" i="3"/>
  <c r="BV9" i="3"/>
  <c r="BW18" i="3"/>
  <c r="BV6" i="3"/>
  <c r="BT27" i="3"/>
  <c r="BX7" i="3"/>
  <c r="CC34" i="3"/>
  <c r="BU34" i="3"/>
  <c r="BZ25" i="3"/>
  <c r="CA6" i="3"/>
  <c r="BT24" i="3"/>
  <c r="CD15" i="3"/>
  <c r="BT20" i="3"/>
  <c r="BT23" i="3"/>
  <c r="BW15" i="3"/>
  <c r="BU30" i="3"/>
  <c r="BW22" i="3"/>
  <c r="BW20" i="3"/>
  <c r="BV22" i="3"/>
  <c r="CD11" i="3"/>
  <c r="BX23" i="3"/>
  <c r="CD23" i="3"/>
  <c r="BX35" i="3"/>
  <c r="BV20" i="3"/>
  <c r="CD33" i="3"/>
  <c r="BX27" i="3"/>
  <c r="BU27" i="3"/>
  <c r="BU28" i="3"/>
  <c r="BV8" i="3"/>
  <c r="CD21" i="3"/>
  <c r="CA12" i="3"/>
  <c r="CA28" i="3"/>
  <c r="BW34" i="3"/>
  <c r="BV34" i="3"/>
  <c r="BV15" i="3"/>
  <c r="BW26" i="3"/>
  <c r="BX28" i="3"/>
  <c r="BU29" i="3"/>
  <c r="BX22" i="3"/>
  <c r="BZ38" i="3"/>
  <c r="BX18" i="3"/>
  <c r="BV37" i="3"/>
  <c r="BV23" i="3"/>
  <c r="BX6" i="3"/>
  <c r="BX9" i="3"/>
  <c r="BY35" i="3"/>
  <c r="BX15" i="3"/>
  <c r="BU38" i="3"/>
  <c r="BW12" i="3"/>
  <c r="BX21" i="3"/>
  <c r="BU14" i="3"/>
  <c r="BV12" i="3"/>
  <c r="CD18" i="3"/>
  <c r="BU21" i="3"/>
  <c r="BW6" i="3"/>
  <c r="BX37" i="3"/>
  <c r="BW21" i="3"/>
  <c r="BU7" i="3"/>
  <c r="BX30" i="3"/>
  <c r="BW8" i="3"/>
  <c r="BV38" i="3"/>
  <c r="CA22" i="3"/>
  <c r="BU12" i="3"/>
  <c r="BW38" i="3"/>
  <c r="BV33" i="3"/>
  <c r="CD27" i="3"/>
  <c r="CC14" i="3"/>
  <c r="BU6" i="3"/>
  <c r="BT18" i="3"/>
  <c r="BU32" i="3"/>
  <c r="BW32" i="3"/>
  <c r="BX17" i="3"/>
  <c r="BU23" i="3"/>
  <c r="BW9" i="3"/>
  <c r="BX12" i="3"/>
  <c r="BX11" i="3"/>
  <c r="CD6" i="3"/>
  <c r="BX14" i="3"/>
  <c r="BT35" i="3"/>
  <c r="CD8" i="3"/>
  <c r="BU20" i="3"/>
  <c r="BS11" i="3"/>
  <c r="CC6" i="3"/>
  <c r="BZ35" i="3"/>
  <c r="BS14" i="3"/>
  <c r="CA30" i="3"/>
  <c r="CB15" i="3"/>
  <c r="BY15" i="3"/>
  <c r="BY31" i="3"/>
  <c r="CC24" i="3"/>
  <c r="BT30" i="3"/>
  <c r="BS32" i="3"/>
  <c r="BY17" i="3"/>
  <c r="BZ24" i="3"/>
  <c r="CC27" i="3"/>
  <c r="BZ6" i="3"/>
  <c r="CB31" i="3"/>
  <c r="BT37" i="3"/>
  <c r="BT11" i="3"/>
  <c r="BZ28" i="3"/>
  <c r="CC31" i="3"/>
  <c r="CA8" i="3"/>
  <c r="BS17" i="3"/>
  <c r="BT14" i="3"/>
  <c r="CB23" i="3"/>
  <c r="BY23" i="3"/>
  <c r="BZ32" i="3"/>
  <c r="BY12" i="3"/>
  <c r="BT32" i="3"/>
  <c r="CC35" i="3"/>
  <c r="BZ26" i="3"/>
  <c r="BT38" i="3"/>
  <c r="CC21" i="3"/>
  <c r="BT15" i="3"/>
  <c r="BS34" i="3"/>
  <c r="CC15" i="3"/>
  <c r="CB34" i="3"/>
  <c r="CB12" i="3"/>
  <c r="CB30" i="3"/>
  <c r="CB17" i="3"/>
  <c r="CB11" i="3"/>
  <c r="CB29" i="3"/>
  <c r="CB6" i="3"/>
  <c r="CB21" i="3"/>
  <c r="CB37" i="3"/>
  <c r="CB7" i="3"/>
  <c r="CB25" i="3"/>
  <c r="CB32" i="3"/>
  <c r="CB20" i="3"/>
  <c r="CB27" i="3"/>
  <c r="BY38" i="3"/>
  <c r="BY26" i="3"/>
  <c r="BY24" i="3"/>
  <c r="BY29" i="3"/>
  <c r="BY7" i="3"/>
  <c r="BY11" i="3"/>
  <c r="BY37" i="3"/>
  <c r="BY34" i="3"/>
  <c r="BY32" i="3"/>
  <c r="BY18" i="3"/>
  <c r="BY25" i="3"/>
  <c r="BY27" i="3"/>
  <c r="BY8" i="3"/>
  <c r="BY20" i="3"/>
  <c r="BY22" i="3"/>
  <c r="CB33" i="3"/>
  <c r="CA23" i="3"/>
  <c r="CA7" i="3"/>
  <c r="CA24" i="3"/>
  <c r="CA37" i="3"/>
  <c r="CA26" i="3"/>
  <c r="CA38" i="3"/>
  <c r="CA34" i="3"/>
  <c r="CA20" i="3"/>
  <c r="CA21" i="3"/>
  <c r="CA18" i="3"/>
  <c r="CA35" i="3"/>
  <c r="CA33" i="3"/>
  <c r="CA29" i="3"/>
  <c r="CA9" i="3"/>
  <c r="CA32" i="3"/>
  <c r="CB8" i="3"/>
  <c r="CA25" i="3"/>
  <c r="BY33" i="3"/>
  <c r="CB22" i="3"/>
  <c r="CB24" i="3"/>
  <c r="CB35" i="3"/>
  <c r="BS30" i="3"/>
  <c r="BZ23" i="3"/>
  <c r="BZ29" i="3"/>
  <c r="BZ37" i="3"/>
  <c r="BZ12" i="3"/>
  <c r="BZ9" i="3"/>
  <c r="BZ20" i="3"/>
  <c r="BZ27" i="3"/>
  <c r="BZ8" i="3"/>
  <c r="BZ18" i="3"/>
  <c r="BZ34" i="3"/>
  <c r="BZ31" i="3"/>
  <c r="BZ22" i="3"/>
  <c r="BZ17" i="3"/>
  <c r="BZ33" i="3"/>
  <c r="BY6" i="3"/>
  <c r="CB28" i="3"/>
  <c r="CA11" i="3"/>
  <c r="BS29" i="3"/>
  <c r="CA27" i="3"/>
  <c r="CC8" i="3"/>
  <c r="BS12" i="3"/>
  <c r="BZ30" i="3"/>
  <c r="BY30" i="3"/>
  <c r="CB9" i="3"/>
  <c r="BS27" i="3"/>
  <c r="BS26" i="3"/>
  <c r="BS22" i="3"/>
  <c r="BS38" i="3"/>
  <c r="BS6" i="3"/>
  <c r="BS21" i="3"/>
  <c r="BS37" i="3"/>
  <c r="BS9" i="3"/>
  <c r="BS28" i="3"/>
  <c r="BS18" i="3"/>
  <c r="BS33" i="3"/>
  <c r="BS15" i="3"/>
  <c r="BS24" i="3"/>
  <c r="BS31" i="3"/>
  <c r="BS8" i="3"/>
  <c r="BS35" i="3"/>
  <c r="BS7" i="3"/>
  <c r="CB38" i="3"/>
  <c r="BY14" i="3"/>
  <c r="CC25" i="3"/>
  <c r="CC18" i="3"/>
  <c r="CC23" i="3"/>
  <c r="CC30" i="3"/>
  <c r="CC38" i="3"/>
  <c r="CC17" i="3"/>
  <c r="CC12" i="3"/>
  <c r="CC22" i="3"/>
  <c r="CC29" i="3"/>
  <c r="CC33" i="3"/>
  <c r="CC32" i="3"/>
  <c r="CC9" i="3"/>
  <c r="CC28" i="3"/>
  <c r="BT21" i="3"/>
  <c r="BT6" i="3"/>
  <c r="BT22" i="3"/>
  <c r="BT34" i="3"/>
  <c r="BT25" i="3"/>
  <c r="BT28" i="3"/>
  <c r="BT17" i="3"/>
  <c r="BT31" i="3"/>
  <c r="BT9" i="3"/>
  <c r="BT12" i="3"/>
  <c r="BT33" i="3"/>
  <c r="BT7" i="3"/>
  <c r="CA15" i="3"/>
  <c r="CC26" i="3"/>
  <c r="BY21" i="3"/>
  <c r="BZ15" i="3"/>
  <c r="BT26" i="3"/>
  <c r="CC20" i="3"/>
  <c r="CA31" i="3"/>
  <c r="BS23" i="3"/>
  <c r="BY28" i="3"/>
  <c r="BZ21" i="3"/>
  <c r="CA14" i="3"/>
  <c r="CB26" i="3"/>
  <c r="CB18" i="3"/>
  <c r="BX38" i="3"/>
  <c r="BW7" i="3"/>
  <c r="CD30" i="3"/>
  <c r="CD12" i="3"/>
  <c r="BX34" i="3"/>
  <c r="BV26" i="3"/>
  <c r="BV32" i="3"/>
  <c r="BX8" i="3"/>
  <c r="BW11" i="3"/>
  <c r="BX32" i="3"/>
  <c r="BV17" i="3"/>
  <c r="CD35" i="3"/>
  <c r="BW28" i="3"/>
  <c r="BV21" i="3"/>
  <c r="BX26" i="3"/>
  <c r="BX25" i="3"/>
  <c r="CD31" i="3"/>
  <c r="BU9" i="3"/>
  <c r="BV11" i="3"/>
  <c r="BU24" i="3"/>
  <c r="CD14" i="3"/>
  <c r="BW24" i="3"/>
  <c r="BU26" i="3"/>
  <c r="BW27" i="3"/>
  <c r="BX33" i="3"/>
  <c r="BV18" i="3"/>
  <c r="BX20" i="3"/>
  <c r="BW29" i="3"/>
  <c r="CD20" i="3"/>
  <c r="CD29" i="3"/>
  <c r="BU18" i="3"/>
  <c r="BX31" i="3"/>
  <c r="CD38" i="3"/>
  <c r="CD9" i="3"/>
  <c r="BU31" i="3"/>
  <c r="BW17" i="3"/>
  <c r="BV25" i="3"/>
  <c r="BV28" i="3"/>
  <c r="BW23" i="3"/>
  <c r="BU25" i="3"/>
  <c r="CD24" i="3"/>
  <c r="BU35" i="3"/>
  <c r="BW37" i="3"/>
  <c r="BW14" i="3"/>
  <c r="BU17" i="3"/>
  <c r="BW30" i="3"/>
  <c r="CD28" i="3"/>
  <c r="BU33" i="3"/>
  <c r="BU37" i="3"/>
  <c r="CD25" i="3"/>
  <c r="CD17" i="3"/>
  <c r="DG7" i="3" s="1"/>
  <c r="BV24" i="3"/>
  <c r="BV27" i="3"/>
  <c r="BV30" i="3"/>
  <c r="BV14" i="3"/>
  <c r="J40" i="3"/>
  <c r="B40" i="3"/>
  <c r="K40" i="3"/>
  <c r="I40" i="3"/>
  <c r="H40" i="3"/>
  <c r="M40" i="3"/>
  <c r="AB40" i="3"/>
  <c r="F40" i="3"/>
  <c r="L40" i="3"/>
  <c r="CF40" i="3" l="1"/>
  <c r="CH40" i="3"/>
  <c r="DF7" i="3"/>
  <c r="BX40" i="3"/>
  <c r="BZ40" i="3"/>
  <c r="DF6" i="3"/>
  <c r="DG6" i="3"/>
  <c r="CD40" i="3"/>
  <c r="BU40" i="3"/>
  <c r="BW40" i="3"/>
  <c r="BV40" i="3"/>
  <c r="CA40" i="3"/>
  <c r="BS40" i="3"/>
  <c r="BY40" i="3"/>
  <c r="BT40" i="3"/>
  <c r="CB40" i="3"/>
  <c r="CC40" i="3"/>
  <c r="DE6" i="3"/>
  <c r="DE7" i="3"/>
  <c r="DD7" i="3"/>
  <c r="DD6" i="3"/>
  <c r="BI5" i="3"/>
  <c r="CL5" i="3" s="1"/>
  <c r="BJ5" i="3"/>
  <c r="CM5" i="3" s="1"/>
  <c r="CN5" i="3"/>
  <c r="CO5" i="3"/>
  <c r="CP5" i="3"/>
  <c r="CQ5" i="3"/>
  <c r="CS5" i="3"/>
  <c r="CT5" i="3"/>
  <c r="CU5" i="3"/>
  <c r="CV5" i="3"/>
  <c r="BH5" i="3"/>
  <c r="CK5" i="3" s="1"/>
  <c r="BR24" i="3" l="1"/>
  <c r="BR31" i="3"/>
  <c r="BR23" i="3"/>
  <c r="BR11" i="3"/>
  <c r="BR20" i="3"/>
  <c r="BR12" i="3"/>
  <c r="BR32" i="3"/>
  <c r="BR26" i="3"/>
  <c r="BR28" i="3"/>
  <c r="BR35" i="3"/>
  <c r="BR17" i="3"/>
  <c r="BR6" i="3"/>
  <c r="BR37" i="3"/>
  <c r="BR30" i="3"/>
  <c r="BR27" i="3"/>
  <c r="BR38" i="3"/>
  <c r="BR29" i="3"/>
  <c r="BR21" i="3"/>
  <c r="BR8" i="3"/>
  <c r="BR18" i="3"/>
  <c r="BR9" i="3"/>
  <c r="BR33" i="3"/>
  <c r="BR14" i="3"/>
  <c r="BR34" i="3"/>
  <c r="BR15" i="3"/>
  <c r="BR25" i="3"/>
  <c r="BR22" i="3"/>
  <c r="BR7" i="3"/>
  <c r="CR5" i="3"/>
  <c r="E6" i="6"/>
  <c r="E7" i="6"/>
  <c r="E8" i="6"/>
  <c r="E9" i="6"/>
  <c r="F9" i="6" s="1"/>
  <c r="E10" i="6"/>
  <c r="E11" i="6"/>
  <c r="E12" i="6"/>
  <c r="E13" i="6"/>
  <c r="E14" i="6"/>
  <c r="E15" i="6"/>
  <c r="E16" i="6"/>
  <c r="E17" i="6"/>
  <c r="F17" i="6" s="1"/>
  <c r="E18" i="6"/>
  <c r="E19" i="6"/>
  <c r="E20" i="6"/>
  <c r="E21" i="6"/>
  <c r="E22" i="6"/>
  <c r="E23" i="6"/>
  <c r="E4" i="6"/>
  <c r="F4" i="6" s="1"/>
  <c r="E30" i="6"/>
  <c r="E31" i="6"/>
  <c r="E32" i="6"/>
  <c r="E33" i="6"/>
  <c r="E34" i="6"/>
  <c r="E35" i="6"/>
  <c r="E36" i="6"/>
  <c r="E37" i="6"/>
  <c r="E40" i="6"/>
  <c r="E41" i="6"/>
  <c r="E42" i="6"/>
  <c r="E43" i="6"/>
  <c r="E44" i="6"/>
  <c r="E45" i="6"/>
  <c r="E46" i="6"/>
  <c r="E47" i="6"/>
  <c r="E48" i="6"/>
  <c r="E49" i="6"/>
  <c r="E56" i="6"/>
  <c r="E57" i="6"/>
  <c r="E58" i="6"/>
  <c r="E59" i="6"/>
  <c r="E60" i="6"/>
  <c r="E61" i="6"/>
  <c r="E62" i="6"/>
  <c r="E63" i="6"/>
  <c r="E66" i="6"/>
  <c r="E67" i="6"/>
  <c r="E68" i="6"/>
  <c r="E69" i="6"/>
  <c r="E70" i="6"/>
  <c r="E71" i="6"/>
  <c r="E72" i="6"/>
  <c r="E73" i="6"/>
  <c r="E74" i="6"/>
  <c r="E75" i="6"/>
  <c r="BR40" i="3" l="1"/>
  <c r="F20" i="6"/>
  <c r="F12" i="6"/>
  <c r="F16" i="6"/>
  <c r="F23" i="6"/>
  <c r="F15" i="6"/>
  <c r="F7" i="6"/>
  <c r="F22" i="6"/>
  <c r="F14" i="6"/>
  <c r="F6" i="6"/>
  <c r="F8" i="6"/>
  <c r="F21" i="6"/>
  <c r="F13" i="6"/>
  <c r="F11" i="6"/>
  <c r="F18" i="6"/>
  <c r="F10" i="6"/>
  <c r="F19" i="6"/>
  <c r="J57" i="6" l="1"/>
  <c r="J58" i="6"/>
  <c r="J59" i="6"/>
  <c r="J60" i="6"/>
  <c r="J61" i="6"/>
  <c r="J62" i="6"/>
  <c r="J63" i="6"/>
  <c r="J66" i="6"/>
  <c r="J67" i="6"/>
  <c r="J68" i="6"/>
  <c r="J69" i="6"/>
  <c r="J70" i="6"/>
  <c r="J71" i="6"/>
  <c r="J72" i="6"/>
  <c r="J73" i="6"/>
  <c r="J74" i="6"/>
  <c r="J75" i="6"/>
  <c r="J56" i="6"/>
  <c r="DC7" i="3" l="1"/>
  <c r="F75" i="6"/>
  <c r="F74" i="6"/>
  <c r="F73" i="6"/>
  <c r="F72" i="6"/>
  <c r="F71" i="6"/>
  <c r="F70" i="6"/>
  <c r="F69" i="6"/>
  <c r="F68" i="6"/>
  <c r="F67" i="6"/>
  <c r="F66" i="6"/>
  <c r="F63" i="6"/>
  <c r="F62" i="6"/>
  <c r="F61" i="6"/>
  <c r="F60" i="6"/>
  <c r="F59" i="6"/>
  <c r="F58" i="6"/>
  <c r="F57" i="6"/>
  <c r="F56" i="6"/>
  <c r="DB6" i="3" l="1"/>
  <c r="DC6" i="3"/>
  <c r="DB7" i="3"/>
  <c r="J41" i="6"/>
  <c r="J42" i="6"/>
  <c r="J43" i="6"/>
  <c r="J44" i="6"/>
  <c r="J45" i="6"/>
  <c r="J46" i="6"/>
  <c r="J47" i="6"/>
  <c r="J48" i="6"/>
  <c r="J49" i="6"/>
  <c r="J31" i="6"/>
  <c r="J32" i="6"/>
  <c r="J33" i="6"/>
  <c r="J34" i="6"/>
  <c r="J35" i="6"/>
  <c r="J36" i="6"/>
  <c r="J37" i="6"/>
  <c r="BQ27" i="3" l="1"/>
  <c r="BQ29" i="3"/>
  <c r="BQ8" i="3"/>
  <c r="BQ32" i="3"/>
  <c r="BQ24" i="3"/>
  <c r="BQ12" i="3"/>
  <c r="BQ11" i="3"/>
  <c r="BQ31" i="3"/>
  <c r="BQ17" i="3"/>
  <c r="BQ38" i="3"/>
  <c r="BQ23" i="3"/>
  <c r="BQ6" i="3"/>
  <c r="BQ34" i="3"/>
  <c r="BQ26" i="3"/>
  <c r="BQ15" i="3"/>
  <c r="BQ18" i="3"/>
  <c r="BQ35" i="3"/>
  <c r="BQ37" i="3"/>
  <c r="BQ20" i="3"/>
  <c r="BQ14" i="3"/>
  <c r="BQ30" i="3"/>
  <c r="BQ33" i="3"/>
  <c r="BQ9" i="3"/>
  <c r="BQ28" i="3"/>
  <c r="BQ7" i="3"/>
  <c r="BQ25" i="3"/>
  <c r="BQ22" i="3"/>
  <c r="BQ21" i="3"/>
  <c r="CW7" i="3"/>
  <c r="CX7" i="3"/>
  <c r="DA6" i="3"/>
  <c r="CZ7" i="3"/>
  <c r="H72" i="6"/>
  <c r="L72" i="6" s="1"/>
  <c r="N72" i="6" s="1"/>
  <c r="CX6" i="3"/>
  <c r="CY7" i="3"/>
  <c r="H71" i="6"/>
  <c r="L71" i="6" s="1"/>
  <c r="N71" i="6" s="1"/>
  <c r="CW6" i="3"/>
  <c r="H73" i="6"/>
  <c r="L73" i="6" s="1"/>
  <c r="N73" i="6" s="1"/>
  <c r="CY6" i="3"/>
  <c r="DA7" i="3"/>
  <c r="H74" i="6"/>
  <c r="L74" i="6" s="1"/>
  <c r="N74" i="6" s="1"/>
  <c r="CZ6" i="3"/>
  <c r="H75" i="6"/>
  <c r="L75" i="6" s="1"/>
  <c r="N75" i="6" s="1"/>
  <c r="BQ40" i="3" l="1"/>
  <c r="J40" i="6"/>
  <c r="J30" i="6"/>
  <c r="F30" i="6" l="1"/>
  <c r="F32" i="6"/>
  <c r="F37" i="6"/>
  <c r="F35" i="6"/>
  <c r="F33" i="6"/>
  <c r="F31" i="6"/>
  <c r="F34" i="6"/>
  <c r="F36" i="6"/>
  <c r="F40" i="6"/>
  <c r="F46" i="6"/>
  <c r="F44" i="6"/>
  <c r="F47" i="6"/>
  <c r="F42" i="6"/>
  <c r="F49" i="6"/>
  <c r="F43" i="6"/>
  <c r="F45" i="6"/>
  <c r="F41" i="6"/>
  <c r="F48" i="6"/>
  <c r="H19" i="6" l="1"/>
  <c r="L19" i="6" s="1"/>
  <c r="N19" i="6" s="1"/>
  <c r="H23" i="6"/>
  <c r="L23" i="6" s="1"/>
  <c r="N23" i="6" s="1"/>
  <c r="H22" i="6"/>
  <c r="L22" i="6" s="1"/>
  <c r="N22" i="6" s="1"/>
  <c r="H21" i="6"/>
  <c r="L21" i="6" s="1"/>
  <c r="N21" i="6" s="1"/>
  <c r="H20" i="6"/>
  <c r="L20" i="6" s="1"/>
  <c r="N20" i="6" s="1"/>
  <c r="H49" i="6" l="1"/>
  <c r="L49" i="6" s="1"/>
  <c r="N49" i="6" s="1"/>
  <c r="H46" i="6"/>
  <c r="L46" i="6" s="1"/>
  <c r="N46" i="6" s="1"/>
  <c r="H45" i="6"/>
  <c r="L45" i="6" s="1"/>
  <c r="N45" i="6" s="1"/>
  <c r="H48" i="6"/>
  <c r="L48" i="6" s="1"/>
  <c r="N48" i="6" s="1"/>
  <c r="H47" i="6" l="1"/>
  <c r="L47" i="6" s="1"/>
  <c r="N47" i="6" s="1"/>
  <c r="H56" i="6" l="1"/>
  <c r="L56" i="6" s="1"/>
  <c r="N56" i="6" s="1"/>
  <c r="H30" i="6" l="1"/>
  <c r="L30" i="6" s="1"/>
  <c r="N30" i="6" s="1"/>
  <c r="BM31" i="3" l="1"/>
  <c r="BM35" i="3"/>
  <c r="BM32" i="3"/>
  <c r="BM24" i="3"/>
  <c r="BM12" i="3"/>
  <c r="BM38" i="3"/>
  <c r="BM25" i="3"/>
  <c r="BM14" i="3"/>
  <c r="BM6" i="3"/>
  <c r="BM27" i="3"/>
  <c r="BM33" i="3"/>
  <c r="BM23" i="3"/>
  <c r="BM37" i="3"/>
  <c r="BM28" i="3"/>
  <c r="BM29" i="3"/>
  <c r="BM22" i="3"/>
  <c r="BM34" i="3"/>
  <c r="BM7" i="3"/>
  <c r="BM8" i="3"/>
  <c r="BM26" i="3"/>
  <c r="BM15" i="3"/>
  <c r="BM18" i="3"/>
  <c r="BM21" i="3"/>
  <c r="BM11" i="3"/>
  <c r="BM30" i="3"/>
  <c r="BM9" i="3"/>
  <c r="BM20" i="3"/>
  <c r="BM17" i="3"/>
  <c r="BO33" i="3"/>
  <c r="BO38" i="3"/>
  <c r="BO34" i="3"/>
  <c r="BO26" i="3"/>
  <c r="BO15" i="3"/>
  <c r="BO18" i="3"/>
  <c r="BO11" i="3"/>
  <c r="BO25" i="3"/>
  <c r="BO37" i="3"/>
  <c r="BO28" i="3"/>
  <c r="BO20" i="3"/>
  <c r="BO7" i="3"/>
  <c r="BO31" i="3"/>
  <c r="BO35" i="3"/>
  <c r="BO17" i="3"/>
  <c r="BO29" i="3"/>
  <c r="BO6" i="3"/>
  <c r="BO22" i="3"/>
  <c r="BO23" i="3"/>
  <c r="BO21" i="3"/>
  <c r="BO9" i="3"/>
  <c r="BO8" i="3"/>
  <c r="BO30" i="3"/>
  <c r="BO32" i="3"/>
  <c r="BO12" i="3"/>
  <c r="BO27" i="3"/>
  <c r="BO14" i="3"/>
  <c r="BO24" i="3"/>
  <c r="BN22" i="3"/>
  <c r="BN34" i="3"/>
  <c r="BN20" i="3"/>
  <c r="BN24" i="3"/>
  <c r="BN7" i="3"/>
  <c r="BN9" i="3"/>
  <c r="BN18" i="3"/>
  <c r="BN30" i="3"/>
  <c r="BN28" i="3"/>
  <c r="BN12" i="3"/>
  <c r="BN38" i="3"/>
  <c r="BN29" i="3"/>
  <c r="BN21" i="3"/>
  <c r="BN8" i="3"/>
  <c r="BN26" i="3"/>
  <c r="BN37" i="3"/>
  <c r="BN32" i="3"/>
  <c r="BN14" i="3"/>
  <c r="BN15" i="3"/>
  <c r="BN31" i="3"/>
  <c r="BN35" i="3"/>
  <c r="BN17" i="3"/>
  <c r="BN11" i="3"/>
  <c r="BN33" i="3"/>
  <c r="BN27" i="3"/>
  <c r="BN6" i="3"/>
  <c r="BN25" i="3"/>
  <c r="BN23" i="3"/>
  <c r="BL26" i="3"/>
  <c r="BL20" i="3"/>
  <c r="BL34" i="3"/>
  <c r="BL15" i="3"/>
  <c r="H9" i="6" s="1"/>
  <c r="L9" i="6" s="1"/>
  <c r="N9" i="6" s="1"/>
  <c r="BL32" i="3"/>
  <c r="BL22" i="3"/>
  <c r="BL31" i="3"/>
  <c r="BL23" i="3"/>
  <c r="BL11" i="3"/>
  <c r="BL7" i="3"/>
  <c r="BL9" i="3"/>
  <c r="BL30" i="3"/>
  <c r="BL12" i="3"/>
  <c r="BL18" i="3"/>
  <c r="BL27" i="3"/>
  <c r="BL35" i="3"/>
  <c r="BL17" i="3"/>
  <c r="BL29" i="3"/>
  <c r="BL33" i="3"/>
  <c r="BL14" i="3"/>
  <c r="BL37" i="3"/>
  <c r="BL8" i="3"/>
  <c r="BL38" i="3"/>
  <c r="BL6" i="3"/>
  <c r="BL24" i="3"/>
  <c r="BL21" i="3"/>
  <c r="BL28" i="3"/>
  <c r="BL25" i="3"/>
  <c r="BP37" i="3"/>
  <c r="BP26" i="3"/>
  <c r="BP30" i="3"/>
  <c r="BP35" i="3"/>
  <c r="BP27" i="3"/>
  <c r="BP22" i="3"/>
  <c r="BP9" i="3"/>
  <c r="BP32" i="3"/>
  <c r="BP38" i="3"/>
  <c r="BP29" i="3"/>
  <c r="BP21" i="3"/>
  <c r="BP8" i="3"/>
  <c r="BP20" i="3"/>
  <c r="BP31" i="3"/>
  <c r="BP23" i="3"/>
  <c r="BP11" i="3"/>
  <c r="BP28" i="3"/>
  <c r="BP24" i="3"/>
  <c r="BP33" i="3"/>
  <c r="BP25" i="3"/>
  <c r="BP14" i="3"/>
  <c r="BP18" i="3"/>
  <c r="BP34" i="3"/>
  <c r="BP7" i="3"/>
  <c r="BP6" i="3"/>
  <c r="BP12" i="3"/>
  <c r="BP15" i="3"/>
  <c r="H13" i="6" s="1"/>
  <c r="BP17" i="3"/>
  <c r="BK38" i="3"/>
  <c r="BK31" i="3"/>
  <c r="BK35" i="3"/>
  <c r="BK25" i="3"/>
  <c r="BK29" i="3"/>
  <c r="BK34" i="3"/>
  <c r="BK26" i="3"/>
  <c r="BK15" i="3"/>
  <c r="H8" i="6" s="1"/>
  <c r="L8" i="6" s="1"/>
  <c r="N8" i="6" s="1"/>
  <c r="BK18" i="3"/>
  <c r="BK21" i="3"/>
  <c r="BK8" i="3"/>
  <c r="BK14" i="3"/>
  <c r="BK17" i="3"/>
  <c r="BK37" i="3"/>
  <c r="BK28" i="3"/>
  <c r="BK20" i="3"/>
  <c r="BK7" i="3"/>
  <c r="BK33" i="3"/>
  <c r="BK27" i="3"/>
  <c r="BK23" i="3"/>
  <c r="BK12" i="3"/>
  <c r="BK22" i="3"/>
  <c r="BK30" i="3"/>
  <c r="BK9" i="3"/>
  <c r="BK6" i="3"/>
  <c r="BK24" i="3"/>
  <c r="BK32" i="3"/>
  <c r="BK11" i="3"/>
  <c r="H16" i="6"/>
  <c r="L16" i="6" s="1"/>
  <c r="N16" i="6" s="1"/>
  <c r="BI15" i="3"/>
  <c r="H6" i="6" s="1"/>
  <c r="L6" i="6" s="1"/>
  <c r="N6" i="6" s="1"/>
  <c r="H11" i="6"/>
  <c r="L11" i="6" s="1"/>
  <c r="N11" i="6" s="1"/>
  <c r="BH15" i="3"/>
  <c r="H4" i="6" s="1"/>
  <c r="L4" i="6" s="1"/>
  <c r="N4" i="6" s="1"/>
  <c r="BH18" i="3"/>
  <c r="BI21" i="3"/>
  <c r="BH21" i="3"/>
  <c r="BJ12" i="3"/>
  <c r="BJ31" i="3"/>
  <c r="BJ37" i="3"/>
  <c r="BJ33" i="3"/>
  <c r="BJ7" i="3"/>
  <c r="BJ30" i="3"/>
  <c r="BJ6" i="3"/>
  <c r="BJ38" i="3"/>
  <c r="BJ18" i="3"/>
  <c r="BJ29" i="3"/>
  <c r="BJ11" i="3"/>
  <c r="BJ26" i="3"/>
  <c r="BJ8" i="3"/>
  <c r="BJ28" i="3"/>
  <c r="BJ20" i="3"/>
  <c r="BJ35" i="3"/>
  <c r="BJ25" i="3"/>
  <c r="BJ27" i="3"/>
  <c r="BJ24" i="3"/>
  <c r="BJ23" i="3"/>
  <c r="BJ34" i="3"/>
  <c r="BJ32" i="3"/>
  <c r="BJ17" i="3"/>
  <c r="BJ22" i="3"/>
  <c r="BJ9" i="3"/>
  <c r="BJ14" i="3"/>
  <c r="BJ15" i="3"/>
  <c r="H7" i="6" s="1"/>
  <c r="L7" i="6" s="1"/>
  <c r="N7" i="6" s="1"/>
  <c r="BJ21" i="3"/>
  <c r="BI11" i="3"/>
  <c r="BI29" i="3"/>
  <c r="BI31" i="3"/>
  <c r="BI34" i="3"/>
  <c r="BI8" i="3"/>
  <c r="BI7" i="3"/>
  <c r="BI25" i="3"/>
  <c r="BI30" i="3"/>
  <c r="BI24" i="3"/>
  <c r="BI12" i="3"/>
  <c r="BI6" i="3"/>
  <c r="BI32" i="3"/>
  <c r="BI35" i="3"/>
  <c r="BI14" i="3"/>
  <c r="BI17" i="3"/>
  <c r="BI33" i="3"/>
  <c r="BI22" i="3"/>
  <c r="BI26" i="3"/>
  <c r="BI28" i="3"/>
  <c r="BI18" i="3"/>
  <c r="BI27" i="3"/>
  <c r="BI9" i="3"/>
  <c r="BI37" i="3"/>
  <c r="BI23" i="3"/>
  <c r="BI38" i="3"/>
  <c r="BI20" i="3"/>
  <c r="H17" i="6"/>
  <c r="L17" i="6" s="1"/>
  <c r="N17" i="6" s="1"/>
  <c r="BH29" i="3"/>
  <c r="BH7" i="3"/>
  <c r="BH33" i="3"/>
  <c r="BH31" i="3"/>
  <c r="BH6" i="3"/>
  <c r="BH27" i="3"/>
  <c r="BH11" i="3"/>
  <c r="BH28" i="3"/>
  <c r="BH25" i="3"/>
  <c r="BH22" i="3"/>
  <c r="BH34" i="3"/>
  <c r="BH8" i="3"/>
  <c r="BH23" i="3"/>
  <c r="BH26" i="3"/>
  <c r="BH35" i="3"/>
  <c r="BH32" i="3"/>
  <c r="BH24" i="3"/>
  <c r="BH38" i="3"/>
  <c r="BH9" i="3"/>
  <c r="BH12" i="3"/>
  <c r="BH20" i="3"/>
  <c r="BH30" i="3"/>
  <c r="BH14" i="3"/>
  <c r="BH17" i="3"/>
  <c r="BH37" i="3"/>
  <c r="H10" i="6"/>
  <c r="L10" i="6" s="1"/>
  <c r="N10" i="6" s="1"/>
  <c r="H18" i="6"/>
  <c r="L18" i="6" s="1"/>
  <c r="N18" i="6" s="1"/>
  <c r="BP40" i="3" l="1"/>
  <c r="BK40" i="3"/>
  <c r="BO40" i="3"/>
  <c r="BL40" i="3"/>
  <c r="BN40" i="3"/>
  <c r="BM40" i="3"/>
  <c r="H15" i="6"/>
  <c r="L15" i="6" s="1"/>
  <c r="N15" i="6" s="1"/>
  <c r="H14" i="6"/>
  <c r="L14" i="6" s="1"/>
  <c r="N14" i="6" s="1"/>
  <c r="H12" i="6"/>
  <c r="BJ40" i="3"/>
  <c r="H33" i="6"/>
  <c r="L33" i="6" s="1"/>
  <c r="N33" i="6" s="1"/>
  <c r="CM7" i="3"/>
  <c r="H34" i="6"/>
  <c r="L34" i="6" s="1"/>
  <c r="N34" i="6" s="1"/>
  <c r="CN7" i="3"/>
  <c r="H58" i="6"/>
  <c r="L58" i="6" s="1"/>
  <c r="N58" i="6" s="1"/>
  <c r="CL6" i="3"/>
  <c r="H59" i="6"/>
  <c r="L59" i="6" s="1"/>
  <c r="N59" i="6" s="1"/>
  <c r="CM6" i="3"/>
  <c r="H32" i="6"/>
  <c r="L32" i="6" s="1"/>
  <c r="N32" i="6" s="1"/>
  <c r="CL7" i="3"/>
  <c r="H60" i="6"/>
  <c r="L60" i="6" s="1"/>
  <c r="N60" i="6" s="1"/>
  <c r="CN6" i="3"/>
  <c r="BI40" i="3"/>
  <c r="H57" i="6"/>
  <c r="L57" i="6" s="1"/>
  <c r="N57" i="6" s="1"/>
  <c r="CK6" i="3"/>
  <c r="CS7" i="3"/>
  <c r="H41" i="6"/>
  <c r="L41" i="6" s="1"/>
  <c r="N41" i="6" s="1"/>
  <c r="H67" i="6"/>
  <c r="L67" i="6" s="1"/>
  <c r="N67" i="6" s="1"/>
  <c r="CS6" i="3"/>
  <c r="CR7" i="3"/>
  <c r="H40" i="6"/>
  <c r="L40" i="6" s="1"/>
  <c r="N40" i="6" s="1"/>
  <c r="CR6" i="3"/>
  <c r="H66" i="6"/>
  <c r="L66" i="6" s="1"/>
  <c r="N66" i="6" s="1"/>
  <c r="H31" i="6"/>
  <c r="L31" i="6" s="1"/>
  <c r="N31" i="6" s="1"/>
  <c r="CK7" i="3"/>
  <c r="H68" i="6"/>
  <c r="L68" i="6" s="1"/>
  <c r="N68" i="6" s="1"/>
  <c r="CT6" i="3"/>
  <c r="H61" i="6"/>
  <c r="L61" i="6" s="1"/>
  <c r="N61" i="6" s="1"/>
  <c r="CO6" i="3"/>
  <c r="CV7" i="3"/>
  <c r="H44" i="6"/>
  <c r="L44" i="6" s="1"/>
  <c r="N44" i="6" s="1"/>
  <c r="H69" i="6"/>
  <c r="L69" i="6" s="1"/>
  <c r="N69" i="6" s="1"/>
  <c r="CU6" i="3"/>
  <c r="CQ7" i="3"/>
  <c r="H37" i="6"/>
  <c r="L37" i="6" s="1"/>
  <c r="N37" i="6" s="1"/>
  <c r="CT7" i="3"/>
  <c r="H42" i="6"/>
  <c r="L42" i="6" s="1"/>
  <c r="N42" i="6" s="1"/>
  <c r="CO7" i="3"/>
  <c r="H35" i="6"/>
  <c r="L35" i="6" s="1"/>
  <c r="N35" i="6" s="1"/>
  <c r="CU7" i="3"/>
  <c r="H43" i="6"/>
  <c r="L43" i="6" s="1"/>
  <c r="N43" i="6" s="1"/>
  <c r="BH40" i="3"/>
  <c r="CP7" i="3"/>
  <c r="H36" i="6"/>
  <c r="L36" i="6" s="1"/>
  <c r="N36" i="6" s="1"/>
  <c r="H70" i="6"/>
  <c r="L70" i="6" s="1"/>
  <c r="N70" i="6" s="1"/>
  <c r="CV6" i="3"/>
  <c r="CQ6" i="3"/>
  <c r="H63" i="6"/>
  <c r="L63" i="6" s="1"/>
  <c r="N63" i="6" s="1"/>
  <c r="CP6" i="3"/>
  <c r="H62" i="6"/>
  <c r="L62" i="6" s="1"/>
  <c r="N62" i="6" s="1"/>
</calcChain>
</file>

<file path=xl/sharedStrings.xml><?xml version="1.0" encoding="utf-8"?>
<sst xmlns="http://schemas.openxmlformats.org/spreadsheetml/2006/main" count="271" uniqueCount="253">
  <si>
    <t>Sample</t>
  </si>
  <si>
    <t>Time</t>
  </si>
  <si>
    <t>TTR</t>
  </si>
  <si>
    <t>TTR - background</t>
  </si>
  <si>
    <t>%16:0</t>
  </si>
  <si>
    <t>TG concentration (umol/l)</t>
  </si>
  <si>
    <t>16:0 concentration (umol/l)</t>
  </si>
  <si>
    <t>U13C-16:0 concentration (umol/l)</t>
  </si>
  <si>
    <t>µg Int std TG =</t>
  </si>
  <si>
    <t>TG</t>
  </si>
  <si>
    <t>µg ext std =</t>
  </si>
  <si>
    <t>volume (ml)</t>
  </si>
  <si>
    <t>fatty acids expressed as mol %</t>
  </si>
  <si>
    <t>Time Point</t>
  </si>
  <si>
    <t>C14:0, µmol/l</t>
  </si>
  <si>
    <t>C16:0, µmol/l</t>
  </si>
  <si>
    <t>C16:1, µmol/l</t>
  </si>
  <si>
    <t>C18:0, µmol/l</t>
  </si>
  <si>
    <t>C18:1, µmol/l</t>
  </si>
  <si>
    <t>C18:2, µmol/l</t>
  </si>
  <si>
    <t>18:3 g</t>
  </si>
  <si>
    <t>C18:3, µmol/l</t>
  </si>
  <si>
    <t>18:3 a</t>
  </si>
  <si>
    <t>C20:0, µmol/l</t>
  </si>
  <si>
    <t>C20:1, µmol/l</t>
  </si>
  <si>
    <t>C20:2, µmol/l</t>
  </si>
  <si>
    <t>20:3/21:0</t>
  </si>
  <si>
    <t>C20:3, µmol/l</t>
  </si>
  <si>
    <t>C20:4, µmol/l</t>
  </si>
  <si>
    <t>C20:5, µmol/l</t>
  </si>
  <si>
    <t>C22:5, µmol/l</t>
  </si>
  <si>
    <t>C22:6, µmol/l</t>
  </si>
  <si>
    <t>total GC</t>
  </si>
  <si>
    <t>recovery</t>
  </si>
  <si>
    <t>16:1/16:0</t>
  </si>
  <si>
    <t>16:0/18:2</t>
  </si>
  <si>
    <t>18.01v</t>
  </si>
  <si>
    <t>%16:01</t>
  </si>
  <si>
    <t>16:01 concentration (umol/l)</t>
  </si>
  <si>
    <t>U13C-16:1 concentration (umol/l)</t>
  </si>
  <si>
    <t>18:2 concentration (umol/l)</t>
  </si>
  <si>
    <t>%18:2</t>
  </si>
  <si>
    <t>U13C-18:2 concentration (umol/l)</t>
  </si>
  <si>
    <t>Background</t>
  </si>
  <si>
    <t>PL</t>
  </si>
  <si>
    <t>PL µmol per litre fraction</t>
  </si>
  <si>
    <t>Phospholipid</t>
  </si>
  <si>
    <t>Sample:</t>
  </si>
  <si>
    <t>Volume Standards =</t>
  </si>
  <si>
    <t>17:0</t>
  </si>
  <si>
    <t>8:0</t>
  </si>
  <si>
    <t>10:0</t>
  </si>
  <si>
    <t>11:0</t>
  </si>
  <si>
    <t>12:0</t>
  </si>
  <si>
    <t>14:0</t>
  </si>
  <si>
    <t>14:1</t>
  </si>
  <si>
    <t>15:0</t>
  </si>
  <si>
    <t>15:1</t>
  </si>
  <si>
    <t>16:0</t>
  </si>
  <si>
    <t>16:1</t>
  </si>
  <si>
    <t>17:1</t>
  </si>
  <si>
    <t>18:0</t>
  </si>
  <si>
    <t>18:1</t>
  </si>
  <si>
    <t>18:1v</t>
  </si>
  <si>
    <t>18:2</t>
  </si>
  <si>
    <t>18:3g</t>
  </si>
  <si>
    <t>18:3a</t>
  </si>
  <si>
    <t>20:0</t>
  </si>
  <si>
    <t>20:1</t>
  </si>
  <si>
    <t>20:2</t>
  </si>
  <si>
    <t>20:3</t>
  </si>
  <si>
    <t>20:4</t>
  </si>
  <si>
    <t>20:5</t>
  </si>
  <si>
    <t>22:0</t>
  </si>
  <si>
    <t>22:1</t>
  </si>
  <si>
    <t>22:2</t>
  </si>
  <si>
    <t>23:0</t>
  </si>
  <si>
    <t>22:5</t>
  </si>
  <si>
    <t>22:6</t>
  </si>
  <si>
    <t>13:0/BHT</t>
  </si>
  <si>
    <t>16:s</t>
  </si>
  <si>
    <r>
      <rPr>
        <sz val="10"/>
        <rFont val="Calibri"/>
        <family val="2"/>
      </rPr>
      <t>10µ</t>
    </r>
    <r>
      <rPr>
        <sz val="8.5"/>
        <rFont val="Arial"/>
        <family val="2"/>
      </rPr>
      <t>l</t>
    </r>
  </si>
  <si>
    <t>OPLA 0.4</t>
  </si>
  <si>
    <t>OPLA 0.5</t>
  </si>
  <si>
    <t>OPLA 0.6</t>
  </si>
  <si>
    <t>OPLA 0.7</t>
  </si>
  <si>
    <t>OPLA 0.8</t>
  </si>
  <si>
    <t>OPLA 0.9</t>
  </si>
  <si>
    <t>OPLA 2.4</t>
  </si>
  <si>
    <t>OPLA 2.5</t>
  </si>
  <si>
    <t>OPLA 2.6</t>
  </si>
  <si>
    <t>OPLA 2.7</t>
  </si>
  <si>
    <t>OPLA 2.8</t>
  </si>
  <si>
    <t>OPLA 2.9</t>
  </si>
  <si>
    <t>OPLA 8.4</t>
  </si>
  <si>
    <t>OPLA 8.5</t>
  </si>
  <si>
    <t>OPLA 8.6</t>
  </si>
  <si>
    <t>OPLA 8.7</t>
  </si>
  <si>
    <t>OPLA 8.8</t>
  </si>
  <si>
    <t>OPLA 8.9</t>
  </si>
  <si>
    <t>51.4593</t>
  </si>
  <si>
    <t>56.1510</t>
  </si>
  <si>
    <t>2481.0176</t>
  </si>
  <si>
    <t>2632.1523</t>
  </si>
  <si>
    <t>3244.2693</t>
  </si>
  <si>
    <t>2614.3457</t>
  </si>
  <si>
    <t>2967.5361</t>
  </si>
  <si>
    <t>3285.2493</t>
  </si>
  <si>
    <t>1686.7598</t>
  </si>
  <si>
    <t>2421.2913</t>
  </si>
  <si>
    <t>1874.7617</t>
  </si>
  <si>
    <t>1742.9335</t>
  </si>
  <si>
    <t>2659.3481</t>
  </si>
  <si>
    <t>1513.9360</t>
  </si>
  <si>
    <t>2141.3574</t>
  </si>
  <si>
    <t>2263.9778</t>
  </si>
  <si>
    <t>2353.9097</t>
  </si>
  <si>
    <t>1633.1239</t>
  </si>
  <si>
    <t>1831.1730</t>
  </si>
  <si>
    <t>2179.7114</t>
  </si>
  <si>
    <t>531.7194</t>
  </si>
  <si>
    <t>771.1248</t>
  </si>
  <si>
    <t>808.5401</t>
  </si>
  <si>
    <t>680.2258</t>
  </si>
  <si>
    <t>815.9235</t>
  </si>
  <si>
    <t>907.3795</t>
  </si>
  <si>
    <t>1394.1823</t>
  </si>
  <si>
    <t>1466.0789</t>
  </si>
  <si>
    <t>1511.7922</t>
  </si>
  <si>
    <t>1350.5195</t>
  </si>
  <si>
    <t>1633.4559</t>
  </si>
  <si>
    <t>1979.2821</t>
  </si>
  <si>
    <t>902.6000</t>
  </si>
  <si>
    <t>1014.0144</t>
  </si>
  <si>
    <t>816.1480</t>
  </si>
  <si>
    <t>844.6030</t>
  </si>
  <si>
    <t>972.3913</t>
  </si>
  <si>
    <t>686.2928</t>
  </si>
  <si>
    <t>918.1285</t>
  </si>
  <si>
    <t>848.2192</t>
  </si>
  <si>
    <t>850.7307</t>
  </si>
  <si>
    <t>778.5511</t>
  </si>
  <si>
    <t>756.8929</t>
  </si>
  <si>
    <t>806.8755</t>
  </si>
  <si>
    <t>1639.7777</t>
  </si>
  <si>
    <t>1865.5430</t>
  </si>
  <si>
    <t>1987.4915</t>
  </si>
  <si>
    <t>1453.3207</t>
  </si>
  <si>
    <t>1726.7960</t>
  </si>
  <si>
    <t>1801.1036</t>
  </si>
  <si>
    <t>1085.9100</t>
  </si>
  <si>
    <t>1614.0463</t>
  </si>
  <si>
    <t>1231.2241</t>
  </si>
  <si>
    <t>1062.7557</t>
  </si>
  <si>
    <t>1617.8096</t>
  </si>
  <si>
    <t>943.4133</t>
  </si>
  <si>
    <t>1264.4932</t>
  </si>
  <si>
    <t>1368.4099</t>
  </si>
  <si>
    <t>1406.7595</t>
  </si>
  <si>
    <t>1051.4696</t>
  </si>
  <si>
    <t>1204.7531</t>
  </si>
  <si>
    <t>1414.3530</t>
  </si>
  <si>
    <t>3017.7837</t>
  </si>
  <si>
    <t>3534.2795</t>
  </si>
  <si>
    <t>3723.7583</t>
  </si>
  <si>
    <t>3075.7947</t>
  </si>
  <si>
    <t>3585.2874</t>
  </si>
  <si>
    <t>3778.4275</t>
  </si>
  <si>
    <t>1888.2450</t>
  </si>
  <si>
    <t>2837.7732</t>
  </si>
  <si>
    <t>1743.5997</t>
  </si>
  <si>
    <t>2473.7439</t>
  </si>
  <si>
    <t>3688.9995</t>
  </si>
  <si>
    <t>2223.3274</t>
  </si>
  <si>
    <t>2059.6707</t>
  </si>
  <si>
    <t>2204.1555</t>
  </si>
  <si>
    <t>2241.0981</t>
  </si>
  <si>
    <t>2178.6602</t>
  </si>
  <si>
    <t>2490.6438</t>
  </si>
  <si>
    <t>2912.4414</t>
  </si>
  <si>
    <t>777.0742</t>
  </si>
  <si>
    <t>826.9421</t>
  </si>
  <si>
    <t>934.2792</t>
  </si>
  <si>
    <t>696.0117</t>
  </si>
  <si>
    <t>810.5674</t>
  </si>
  <si>
    <t>844.0536</t>
  </si>
  <si>
    <t>212.6890</t>
  </si>
  <si>
    <t>610.0238</t>
  </si>
  <si>
    <t>677.6957</t>
  </si>
  <si>
    <t>752.7939</t>
  </si>
  <si>
    <t>613.2578</t>
  </si>
  <si>
    <t>747.2306</t>
  </si>
  <si>
    <t>775.6059</t>
  </si>
  <si>
    <t>548.0217</t>
  </si>
  <si>
    <t>858.4958</t>
  </si>
  <si>
    <t>621.3105</t>
  </si>
  <si>
    <t>574.7326</t>
  </si>
  <si>
    <t>871.1693</t>
  </si>
  <si>
    <t>536.0702</t>
  </si>
  <si>
    <t>868.8005</t>
  </si>
  <si>
    <t>951.6787</t>
  </si>
  <si>
    <t>975.9415</t>
  </si>
  <si>
    <t>806.6994</t>
  </si>
  <si>
    <t>913.2780</t>
  </si>
  <si>
    <t>1082.6741</t>
  </si>
  <si>
    <t>401.0026</t>
  </si>
  <si>
    <t>573.5045</t>
  </si>
  <si>
    <t>563.4609</t>
  </si>
  <si>
    <t>1295.8324</t>
  </si>
  <si>
    <t>1413.6090</t>
  </si>
  <si>
    <t>1513.8264</t>
  </si>
  <si>
    <t>1633.0735</t>
  </si>
  <si>
    <t>1935.0648</t>
  </si>
  <si>
    <t>1986.2035</t>
  </si>
  <si>
    <t>1062.2531</t>
  </si>
  <si>
    <t>1592.3246</t>
  </si>
  <si>
    <t>1219.0015</t>
  </si>
  <si>
    <t>1289.5027</t>
  </si>
  <si>
    <t>1952.6520</t>
  </si>
  <si>
    <t>1115.2782</t>
  </si>
  <si>
    <t>1384.4242</t>
  </si>
  <si>
    <t>1473.2788</t>
  </si>
  <si>
    <t>1482.3458</t>
  </si>
  <si>
    <t>1332.6227</t>
  </si>
  <si>
    <t>1526.1002</t>
  </si>
  <si>
    <t>1807.4520</t>
  </si>
  <si>
    <t>10261.2256</t>
  </si>
  <si>
    <t>10260.7217</t>
  </si>
  <si>
    <t>10159.4756</t>
  </si>
  <si>
    <t>10509.8389</t>
  </si>
  <si>
    <t>11290.1045</t>
  </si>
  <si>
    <t>13713.3789</t>
  </si>
  <si>
    <t>5312.4434</t>
  </si>
  <si>
    <t>5326.1016</t>
  </si>
  <si>
    <t>5546.8428</t>
  </si>
  <si>
    <t>5800.1807</t>
  </si>
  <si>
    <t>5607.1665</t>
  </si>
  <si>
    <t>5676.0249</t>
  </si>
  <si>
    <t>5420.1479</t>
  </si>
  <si>
    <t>5346.8921</t>
  </si>
  <si>
    <t>5324.8633</t>
  </si>
  <si>
    <t>5430.2427</t>
  </si>
  <si>
    <t>5671.0806</t>
  </si>
  <si>
    <t>5737.5151</t>
  </si>
  <si>
    <t>OPLA 0.1</t>
  </si>
  <si>
    <t>OPLA 0.2</t>
  </si>
  <si>
    <t>OPLA 0.3</t>
  </si>
  <si>
    <t>OPLA 2.1</t>
  </si>
  <si>
    <t>OPLA 2.2</t>
  </si>
  <si>
    <t>OPLA 2.3</t>
  </si>
  <si>
    <t>OPLA 8.1</t>
  </si>
  <si>
    <t>OPLA 8.2</t>
  </si>
  <si>
    <t>OPLA 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</si>
</sst>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34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Calibri"/>
      <family val="2"/>
    </font>
    <font>
      <sz val="8.5"/>
      <name val="Arial"/>
      <family val="2"/>
    </font>
    <font>
      <b/>
      <sz val="10"/>
      <color indexed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0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4" applyNumberFormat="0" applyAlignment="0" applyProtection="0"/>
    <xf numFmtId="0" fontId="22" fillId="9" borderId="5" applyNumberFormat="0" applyAlignment="0" applyProtection="0"/>
    <xf numFmtId="0" fontId="23" fillId="9" borderId="4" applyNumberFormat="0" applyAlignment="0" applyProtection="0"/>
    <xf numFmtId="0" fontId="24" fillId="0" borderId="6" applyNumberFormat="0" applyFill="0" applyAlignment="0" applyProtection="0"/>
    <xf numFmtId="0" fontId="25" fillId="10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9" fillId="35" borderId="0" applyNumberFormat="0" applyBorder="0" applyAlignment="0" applyProtection="0"/>
    <xf numFmtId="0" fontId="2" fillId="0" borderId="0"/>
    <xf numFmtId="0" fontId="30" fillId="0" borderId="0" applyNumberFormat="0" applyFill="0" applyBorder="0" applyAlignment="0" applyProtection="0"/>
    <xf numFmtId="0" fontId="2" fillId="11" borderId="8" applyNumberFormat="0" applyFont="0" applyAlignment="0" applyProtection="0"/>
    <xf numFmtId="0" fontId="2" fillId="0" borderId="0"/>
  </cellStyleXfs>
  <cellXfs count="75">
    <xf numFmtId="0" fontId="0" fillId="0" borderId="0" xfId="0"/>
    <xf numFmtId="0" fontId="8" fillId="2" borderId="0" xfId="0" applyFont="1" applyFill="1"/>
    <xf numFmtId="20" fontId="0" fillId="3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ill="1"/>
    <xf numFmtId="0" fontId="0" fillId="0" borderId="0" xfId="0" quotePrefix="1" applyNumberFormat="1"/>
    <xf numFmtId="20" fontId="0" fillId="0" borderId="0" xfId="0" applyNumberFormat="1" applyFill="1"/>
    <xf numFmtId="0" fontId="0" fillId="0" borderId="0" xfId="0" applyFill="1" applyAlignment="1">
      <alignment wrapText="1"/>
    </xf>
    <xf numFmtId="0" fontId="8" fillId="0" borderId="0" xfId="0" applyFont="1" applyFill="1"/>
    <xf numFmtId="0" fontId="9" fillId="2" borderId="0" xfId="0" applyFont="1" applyFill="1" applyAlignment="1">
      <alignment wrapText="1"/>
    </xf>
    <xf numFmtId="0" fontId="9" fillId="0" borderId="0" xfId="0" applyFont="1" applyFill="1" applyAlignment="1">
      <alignment wrapText="1"/>
    </xf>
    <xf numFmtId="0" fontId="8" fillId="0" borderId="0" xfId="0" quotePrefix="1" applyNumberFormat="1" applyFont="1"/>
    <xf numFmtId="0" fontId="10" fillId="0" borderId="0" xfId="1"/>
    <xf numFmtId="164" fontId="10" fillId="0" borderId="0" xfId="1" quotePrefix="1" applyNumberFormat="1" applyFont="1" applyBorder="1" applyAlignment="1">
      <alignment horizontal="center"/>
    </xf>
    <xf numFmtId="0" fontId="11" fillId="0" borderId="0" xfId="1" applyFont="1"/>
    <xf numFmtId="165" fontId="11" fillId="0" borderId="0" xfId="1" applyNumberFormat="1" applyFont="1" applyAlignment="1">
      <alignment horizontal="right"/>
    </xf>
    <xf numFmtId="165" fontId="10" fillId="0" borderId="0" xfId="1" applyNumberFormat="1" applyAlignment="1">
      <alignment horizontal="right"/>
    </xf>
    <xf numFmtId="0" fontId="10" fillId="0" borderId="0" xfId="1" applyFont="1"/>
    <xf numFmtId="0" fontId="13" fillId="0" borderId="0" xfId="1" applyFont="1"/>
    <xf numFmtId="2" fontId="10" fillId="0" borderId="0" xfId="1" applyNumberFormat="1" applyFont="1"/>
    <xf numFmtId="164" fontId="10" fillId="0" borderId="0" xfId="1" applyNumberFormat="1"/>
    <xf numFmtId="0" fontId="12" fillId="0" borderId="0" xfId="1" applyFont="1" applyFill="1"/>
    <xf numFmtId="1" fontId="12" fillId="0" borderId="0" xfId="1" applyNumberFormat="1" applyFont="1" applyBorder="1"/>
    <xf numFmtId="1" fontId="12" fillId="0" borderId="0" xfId="1" applyNumberFormat="1" applyFont="1" applyBorder="1" applyAlignment="1">
      <alignment horizontal="center"/>
    </xf>
    <xf numFmtId="3" fontId="10" fillId="0" borderId="0" xfId="1" quotePrefix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20" fontId="7" fillId="0" borderId="0" xfId="2" applyNumberFormat="1"/>
    <xf numFmtId="164" fontId="12" fillId="0" borderId="0" xfId="1" quotePrefix="1" applyNumberFormat="1" applyFont="1" applyBorder="1" applyAlignment="1">
      <alignment horizontal="center"/>
    </xf>
    <xf numFmtId="165" fontId="10" fillId="0" borderId="0" xfId="1" applyNumberFormat="1" applyFont="1"/>
    <xf numFmtId="0" fontId="10" fillId="0" borderId="0" xfId="1" applyBorder="1"/>
    <xf numFmtId="0" fontId="7" fillId="0" borderId="0" xfId="2"/>
    <xf numFmtId="0" fontId="14" fillId="0" borderId="0" xfId="1" applyFont="1"/>
    <xf numFmtId="165" fontId="10" fillId="0" borderId="0" xfId="1" applyNumberFormat="1"/>
    <xf numFmtId="165" fontId="10" fillId="0" borderId="0" xfId="1" applyNumberFormat="1" applyFont="1" applyFill="1"/>
    <xf numFmtId="0" fontId="10" fillId="0" borderId="0" xfId="1" applyFill="1"/>
    <xf numFmtId="2" fontId="10" fillId="0" borderId="0" xfId="1" applyNumberFormat="1"/>
    <xf numFmtId="0" fontId="14" fillId="0" borderId="0" xfId="1" applyFont="1" applyFill="1"/>
    <xf numFmtId="0" fontId="10" fillId="0" borderId="0" xfId="1" applyAlignment="1">
      <alignment horizontal="center"/>
    </xf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 wrapText="1"/>
    </xf>
    <xf numFmtId="0" fontId="12" fillId="0" borderId="0" xfId="1" applyFont="1" applyAlignment="1">
      <alignment horizontal="center"/>
    </xf>
    <xf numFmtId="2" fontId="10" fillId="0" borderId="0" xfId="1" applyNumberFormat="1" applyAlignment="1">
      <alignment horizontal="center"/>
    </xf>
    <xf numFmtId="3" fontId="10" fillId="0" borderId="0" xfId="1" applyNumberFormat="1" applyAlignment="1">
      <alignment horizontal="center"/>
    </xf>
    <xf numFmtId="1" fontId="10" fillId="0" borderId="0" xfId="1" applyNumberFormat="1" applyFont="1" applyFill="1"/>
    <xf numFmtId="165" fontId="10" fillId="0" borderId="0" xfId="1" applyNumberFormat="1" applyFill="1"/>
    <xf numFmtId="49" fontId="10" fillId="0" borderId="0" xfId="1" applyNumberFormat="1" applyFill="1"/>
    <xf numFmtId="1" fontId="10" fillId="4" borderId="0" xfId="1" applyNumberFormat="1" applyFont="1" applyFill="1"/>
    <xf numFmtId="0" fontId="10" fillId="4" borderId="0" xfId="1" applyFill="1"/>
    <xf numFmtId="166" fontId="10" fillId="4" borderId="0" xfId="1" applyNumberFormat="1" applyFill="1"/>
    <xf numFmtId="165" fontId="10" fillId="4" borderId="0" xfId="1" applyNumberFormat="1" applyFont="1" applyFill="1"/>
    <xf numFmtId="2" fontId="0" fillId="0" borderId="0" xfId="0" applyNumberFormat="1" applyFill="1"/>
    <xf numFmtId="166" fontId="0" fillId="0" borderId="0" xfId="0" applyNumberFormat="1" applyFill="1"/>
    <xf numFmtId="20" fontId="7" fillId="0" borderId="0" xfId="2" applyNumberFormat="1" applyFill="1"/>
    <xf numFmtId="20" fontId="6" fillId="0" borderId="0" xfId="2" applyNumberFormat="1" applyFont="1"/>
    <xf numFmtId="164" fontId="10" fillId="0" borderId="0" xfId="0" quotePrefix="1" applyNumberFormat="1" applyFont="1" applyBorder="1" applyAlignment="1" applyProtection="1">
      <alignment wrapText="1"/>
      <protection locked="0"/>
    </xf>
    <xf numFmtId="0" fontId="9" fillId="0" borderId="0" xfId="0" applyFont="1"/>
    <xf numFmtId="0" fontId="9" fillId="2" borderId="0" xfId="0" applyFont="1" applyFill="1"/>
    <xf numFmtId="0" fontId="12" fillId="0" borderId="0" xfId="1" applyFont="1" applyFill="1" applyAlignment="1">
      <alignment horizontal="center"/>
    </xf>
    <xf numFmtId="0" fontId="10" fillId="0" borderId="0" xfId="1" applyFill="1" applyAlignment="1">
      <alignment horizontal="center"/>
    </xf>
    <xf numFmtId="20" fontId="0" fillId="0" borderId="0" xfId="0" quotePrefix="1" applyNumberFormat="1" applyFill="1"/>
    <xf numFmtId="20" fontId="0" fillId="2" borderId="0" xfId="0" applyNumberFormat="1" applyFill="1"/>
    <xf numFmtId="20" fontId="14" fillId="0" borderId="0" xfId="1" applyNumberFormat="1" applyFont="1"/>
    <xf numFmtId="0" fontId="12" fillId="36" borderId="0" xfId="1" applyFont="1" applyFill="1"/>
    <xf numFmtId="0" fontId="12" fillId="36" borderId="0" xfId="1" applyFont="1" applyFill="1" applyAlignment="1">
      <alignment horizontal="center"/>
    </xf>
    <xf numFmtId="0" fontId="10" fillId="36" borderId="0" xfId="1" applyFill="1" applyAlignment="1">
      <alignment horizontal="center"/>
    </xf>
    <xf numFmtId="0" fontId="10" fillId="0" borderId="0" xfId="1" quotePrefix="1" applyAlignment="1">
      <alignment horizontal="left"/>
    </xf>
    <xf numFmtId="0" fontId="12" fillId="36" borderId="0" xfId="1" applyFont="1" applyFill="1" applyAlignment="1">
      <alignment wrapText="1"/>
    </xf>
    <xf numFmtId="0" fontId="33" fillId="0" borderId="0" xfId="1" applyFont="1" applyAlignment="1">
      <alignment horizontal="center"/>
    </xf>
    <xf numFmtId="49" fontId="10" fillId="0" borderId="0" xfId="1" applyNumberFormat="1" applyAlignment="1">
      <alignment horizontal="right"/>
    </xf>
    <xf numFmtId="49" fontId="12" fillId="36" borderId="0" xfId="1" applyNumberFormat="1" applyFont="1" applyFill="1" applyAlignment="1">
      <alignment horizontal="right"/>
    </xf>
    <xf numFmtId="49" fontId="12" fillId="0" borderId="0" xfId="1" applyNumberFormat="1" applyFont="1" applyFill="1" applyAlignment="1">
      <alignment horizontal="right"/>
    </xf>
    <xf numFmtId="49" fontId="12" fillId="0" borderId="0" xfId="1" applyNumberFormat="1" applyFont="1" applyAlignment="1">
      <alignment horizontal="right"/>
    </xf>
    <xf numFmtId="20" fontId="1" fillId="0" borderId="0" xfId="2" applyNumberFormat="1" applyFont="1"/>
    <xf numFmtId="0" fontId="0" fillId="0" borderId="0" xfId="0" applyAlignment="1">
      <alignment wrapText="1"/>
    </xf>
  </cellXfs>
  <cellStyles count="5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1" xr:uid="{00000000-0005-0000-0000-000025000000}"/>
    <cellStyle name="Normal 3" xfId="2" xr:uid="{00000000-0005-0000-0000-000026000000}"/>
    <cellStyle name="Normal 3 2" xfId="49" xr:uid="{00000000-0005-0000-0000-000027000000}"/>
    <cellStyle name="Normal 4" xfId="3" xr:uid="{00000000-0005-0000-0000-000028000000}"/>
    <cellStyle name="Normal 5" xfId="4" xr:uid="{00000000-0005-0000-0000-000029000000}"/>
    <cellStyle name="Normal 6" xfId="5" xr:uid="{00000000-0005-0000-0000-00002A000000}"/>
    <cellStyle name="Normal 7" xfId="6" xr:uid="{00000000-0005-0000-0000-00002B000000}"/>
    <cellStyle name="Normal 8" xfId="46" xr:uid="{00000000-0005-0000-0000-00002C000000}"/>
    <cellStyle name="Note 2" xfId="48" xr:uid="{00000000-0005-0000-0000-00002D000000}"/>
    <cellStyle name="Output" xfId="15" builtinId="21" customBuiltin="1"/>
    <cellStyle name="Title 2" xfId="47" xr:uid="{00000000-0005-0000-0000-00002F000000}"/>
    <cellStyle name="Total" xfId="21" builtinId="25" customBuiltin="1"/>
    <cellStyle name="Warning Text" xfId="1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Fatty acid composition of</a:t>
            </a:r>
            <a:r>
              <a:rPr lang="en-GB" baseline="0"/>
              <a:t> </a:t>
            </a:r>
            <a:r>
              <a:rPr lang="en-GB"/>
              <a:t>TG</a:t>
            </a:r>
          </a:p>
        </c:rich>
      </c:tx>
      <c:layout>
        <c:manualLayout>
          <c:xMode val="edge"/>
          <c:yMode val="edge"/>
          <c:x val="0.20382165605095537"/>
          <c:y val="2.87356321839080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94309376666568E-2"/>
          <c:y val="0.1236692416602499"/>
          <c:w val="0.92429264569020508"/>
          <c:h val="0.7441484719772804"/>
        </c:manualLayout>
      </c:layout>
      <c:barChart>
        <c:barDir val="col"/>
        <c:grouping val="clustered"/>
        <c:varyColors val="0"/>
        <c:ser>
          <c:idx val="0"/>
          <c:order val="0"/>
          <c:tx>
            <c:v>16:00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'GC data'!$BH$5:$CH$5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data'!$BH$15:$CD$15</c:f>
              <c:numCache>
                <c:formatCode>0.0</c:formatCode>
                <c:ptCount val="23"/>
                <c:pt idx="0">
                  <c:v>29.272064259253209</c:v>
                </c:pt>
                <c:pt idx="1">
                  <c:v>28.575080703100738</c:v>
                </c:pt>
                <c:pt idx="2">
                  <c:v>29.097069889659295</c:v>
                </c:pt>
                <c:pt idx="3">
                  <c:v>31.025909997063522</c:v>
                </c:pt>
                <c:pt idx="4">
                  <c:v>31.188030996966614</c:v>
                </c:pt>
                <c:pt idx="5">
                  <c:v>30.893427372897008</c:v>
                </c:pt>
                <c:pt idx="6">
                  <c:v>32.88113139549489</c:v>
                </c:pt>
                <c:pt idx="7">
                  <c:v>33.800365111129516</c:v>
                </c:pt>
                <c:pt idx="8">
                  <c:v>33.97764957597775</c:v>
                </c:pt>
                <c:pt idx="9">
                  <c:v>22.076669195859331</c:v>
                </c:pt>
                <c:pt idx="10">
                  <c:v>20.692454140378437</c:v>
                </c:pt>
                <c:pt idx="11">
                  <c:v>23.277871673343014</c:v>
                </c:pt>
                <c:pt idx="12">
                  <c:v>23.253833739551936</c:v>
                </c:pt>
                <c:pt idx="13">
                  <c:v>22.499662852992856</c:v>
                </c:pt>
                <c:pt idx="14">
                  <c:v>23.024409824586716</c:v>
                </c:pt>
                <c:pt idx="15">
                  <c:v>25.165823857423458</c:v>
                </c:pt>
                <c:pt idx="16">
                  <c:v>25.401860288239924</c:v>
                </c:pt>
                <c:pt idx="17">
                  <c:v>26.319660187876483</c:v>
                </c:pt>
                <c:pt idx="18">
                  <c:v>23.705197141185046</c:v>
                </c:pt>
                <c:pt idx="19">
                  <c:v>24.578310429823336</c:v>
                </c:pt>
                <c:pt idx="20">
                  <c:v>23.445248253952521</c:v>
                </c:pt>
                <c:pt idx="21">
                  <c:v>26.572835308922368</c:v>
                </c:pt>
                <c:pt idx="22">
                  <c:v>26.9320026005337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0-4FA9-9A25-6C031549B6D3}"/>
            </c:ext>
          </c:extLst>
        </c:ser>
        <c:ser>
          <c:idx val="1"/>
          <c:order val="1"/>
          <c:tx>
            <c:v>18:2n-6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'GC data'!$BH$5:$CH$5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data'!$BH$23:$CD$23</c:f>
              <c:numCache>
                <c:formatCode>0.0</c:formatCode>
                <c:ptCount val="23"/>
                <c:pt idx="0">
                  <c:v>5.4293352980214644</c:v>
                </c:pt>
                <c:pt idx="1">
                  <c:v>5.233932914119122</c:v>
                </c:pt>
                <c:pt idx="2">
                  <c:v>5.6013473708686021</c:v>
                </c:pt>
                <c:pt idx="3">
                  <c:v>7.944366513966659</c:v>
                </c:pt>
                <c:pt idx="4">
                  <c:v>8.2167362458156976</c:v>
                </c:pt>
                <c:pt idx="5">
                  <c:v>8.3104437449340374</c:v>
                </c:pt>
                <c:pt idx="6">
                  <c:v>10.553038899036483</c:v>
                </c:pt>
                <c:pt idx="7">
                  <c:v>10.936201126152367</c:v>
                </c:pt>
                <c:pt idx="8">
                  <c:v>10.829355159121553</c:v>
                </c:pt>
                <c:pt idx="9">
                  <c:v>4.9635282247776686</c:v>
                </c:pt>
                <c:pt idx="10">
                  <c:v>4.8716460651191671</c:v>
                </c:pt>
                <c:pt idx="11">
                  <c:v>4.939039228732895</c:v>
                </c:pt>
                <c:pt idx="12">
                  <c:v>4.9878644272203667</c:v>
                </c:pt>
                <c:pt idx="13">
                  <c:v>5.1805355663163448</c:v>
                </c:pt>
                <c:pt idx="14">
                  <c:v>4.9705138825884125</c:v>
                </c:pt>
                <c:pt idx="15">
                  <c:v>7.4764542064677775</c:v>
                </c:pt>
                <c:pt idx="16">
                  <c:v>8.235626983110496</c:v>
                </c:pt>
                <c:pt idx="17">
                  <c:v>7.9759589459295208</c:v>
                </c:pt>
                <c:pt idx="18">
                  <c:v>7.1477375468304531</c:v>
                </c:pt>
                <c:pt idx="19">
                  <c:v>7.3624000236697968</c:v>
                </c:pt>
                <c:pt idx="20">
                  <c:v>7.5911748818350375</c:v>
                </c:pt>
                <c:pt idx="21">
                  <c:v>9.8584539248238077</c:v>
                </c:pt>
                <c:pt idx="22">
                  <c:v>10.352061528060373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0-4FA9-9A25-6C031549B6D3}"/>
            </c:ext>
          </c:extLst>
        </c:ser>
        <c:ser>
          <c:idx val="2"/>
          <c:order val="2"/>
          <c:tx>
            <c:v>18:1n-9</c:v>
          </c:tx>
          <c:invertIfNegative val="0"/>
          <c:cat>
            <c:strRef>
              <c:f>'GC data'!$BH$5:$CH$5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data'!$BH$21:$CD$21</c:f>
              <c:numCache>
                <c:formatCode>0.0</c:formatCode>
                <c:ptCount val="23"/>
                <c:pt idx="0">
                  <c:v>19.110320812474061</c:v>
                </c:pt>
                <c:pt idx="1">
                  <c:v>19.712707771817371</c:v>
                </c:pt>
                <c:pt idx="2">
                  <c:v>21.360854427790667</c:v>
                </c:pt>
                <c:pt idx="3">
                  <c:v>27.115066401918313</c:v>
                </c:pt>
                <c:pt idx="4">
                  <c:v>27.224706148338967</c:v>
                </c:pt>
                <c:pt idx="5">
                  <c:v>27.398999112735421</c:v>
                </c:pt>
                <c:pt idx="6">
                  <c:v>24.56083818345769</c:v>
                </c:pt>
                <c:pt idx="7">
                  <c:v>23.613565149408181</c:v>
                </c:pt>
                <c:pt idx="8">
                  <c:v>23.833917666580653</c:v>
                </c:pt>
                <c:pt idx="9">
                  <c:v>24.380642249970776</c:v>
                </c:pt>
                <c:pt idx="10">
                  <c:v>25.226395884422164</c:v>
                </c:pt>
                <c:pt idx="11">
                  <c:v>24.258345961156795</c:v>
                </c:pt>
                <c:pt idx="12">
                  <c:v>24.839464053850858</c:v>
                </c:pt>
                <c:pt idx="13">
                  <c:v>24.680690329725127</c:v>
                </c:pt>
                <c:pt idx="14">
                  <c:v>24.042775288544945</c:v>
                </c:pt>
                <c:pt idx="15">
                  <c:v>25.578176644546957</c:v>
                </c:pt>
                <c:pt idx="16">
                  <c:v>27.030214548462251</c:v>
                </c:pt>
                <c:pt idx="17">
                  <c:v>22.224618731584911</c:v>
                </c:pt>
                <c:pt idx="18">
                  <c:v>30.547158536376955</c:v>
                </c:pt>
                <c:pt idx="19">
                  <c:v>30.955566857468266</c:v>
                </c:pt>
                <c:pt idx="20">
                  <c:v>31.261086500664931</c:v>
                </c:pt>
                <c:pt idx="21">
                  <c:v>23.205976959474096</c:v>
                </c:pt>
                <c:pt idx="22">
                  <c:v>23.806307685629498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0-4FA9-9A25-6C031549B6D3}"/>
            </c:ext>
          </c:extLst>
        </c:ser>
        <c:ser>
          <c:idx val="3"/>
          <c:order val="3"/>
          <c:tx>
            <c:strRef>
              <c:f>'GC data'!$BG$32</c:f>
              <c:strCache>
                <c:ptCount val="1"/>
                <c:pt idx="0">
                  <c:v>20:05</c:v>
                </c:pt>
              </c:strCache>
            </c:strRef>
          </c:tx>
          <c:invertIfNegative val="0"/>
          <c:cat>
            <c:strRef>
              <c:f>'GC data'!$BH$5:$CH$5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data'!$BH$32:$CD$32</c:f>
              <c:numCache>
                <c:formatCode>0.0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80-4FA9-9A25-6C031549B6D3}"/>
            </c:ext>
          </c:extLst>
        </c:ser>
        <c:ser>
          <c:idx val="4"/>
          <c:order val="4"/>
          <c:tx>
            <c:strRef>
              <c:f>'GC data'!$BG$37</c:f>
              <c:strCache>
                <c:ptCount val="1"/>
                <c:pt idx="0">
                  <c:v>22:05</c:v>
                </c:pt>
              </c:strCache>
            </c:strRef>
          </c:tx>
          <c:invertIfNegative val="0"/>
          <c:cat>
            <c:strRef>
              <c:f>'GC data'!$BH$5:$CH$5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data'!$BH$37:$CD$37</c:f>
              <c:numCache>
                <c:formatCode>0.0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80-4FA9-9A25-6C031549B6D3}"/>
            </c:ext>
          </c:extLst>
        </c:ser>
        <c:ser>
          <c:idx val="5"/>
          <c:order val="5"/>
          <c:tx>
            <c:strRef>
              <c:f>'GC data'!$BG$38</c:f>
              <c:strCache>
                <c:ptCount val="1"/>
                <c:pt idx="0">
                  <c:v>22:06</c:v>
                </c:pt>
              </c:strCache>
            </c:strRef>
          </c:tx>
          <c:invertIfNegative val="0"/>
          <c:cat>
            <c:strRef>
              <c:f>'GC data'!$BH$5:$CH$5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data'!$BH$38:$CD$38</c:f>
              <c:numCache>
                <c:formatCode>0.0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80-4FA9-9A25-6C031549B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004600"/>
        <c:axId val="453004992"/>
      </c:barChart>
      <c:catAx>
        <c:axId val="453004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(min)</a:t>
                </a:r>
              </a:p>
            </c:rich>
          </c:tx>
          <c:layout>
            <c:manualLayout>
              <c:xMode val="edge"/>
              <c:yMode val="edge"/>
              <c:x val="0.44331210191082993"/>
              <c:y val="0.927204875252662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3004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3004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mol%</a:t>
                </a:r>
              </a:p>
            </c:rich>
          </c:tx>
          <c:layout>
            <c:manualLayout>
              <c:xMode val="edge"/>
              <c:yMode val="edge"/>
              <c:x val="2.0382165605095551E-2"/>
              <c:y val="0.484675335123339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30046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924867459296669"/>
          <c:y val="1.1863682654810088E-2"/>
          <c:w val="0.15320126318871496"/>
          <c:h val="8.744512614156668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Fatty acid composition</a:t>
            </a:r>
            <a:r>
              <a:rPr lang="en-GB" baseline="0"/>
              <a:t> of PL</a:t>
            </a:r>
            <a:r>
              <a:rPr lang="en-GB"/>
              <a:t> 18:1/18:0</a:t>
            </a:r>
          </a:p>
        </c:rich>
      </c:tx>
      <c:layout>
        <c:manualLayout>
          <c:xMode val="edge"/>
          <c:yMode val="edge"/>
          <c:x val="3.8931303799766008E-5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509601187426515E-2"/>
          <c:y val="0.21176551687161793"/>
          <c:w val="0.91719816536730359"/>
          <c:h val="0.6117670487402295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'GC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'GC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'GC data'!#REF!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9F-4FB2-9DEA-CF3053D2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005776"/>
        <c:axId val="453006168"/>
      </c:barChart>
      <c:catAx>
        <c:axId val="45300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4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(min)</a:t>
                </a:r>
              </a:p>
            </c:rich>
          </c:tx>
          <c:layout>
            <c:manualLayout>
              <c:xMode val="edge"/>
              <c:yMode val="edge"/>
              <c:x val="0.48726148084992582"/>
              <c:y val="0.89019937213730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3006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3006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4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mol%</a:t>
                </a:r>
              </a:p>
            </c:rich>
          </c:tx>
          <c:layout>
            <c:manualLayout>
              <c:xMode val="edge"/>
              <c:yMode val="edge"/>
              <c:x val="2.5477707006369643E-2"/>
              <c:y val="0.4784330194019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3005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13C16:0</a:t>
            </a:r>
            <a:endParaRPr lang="en-US"/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v>Chylos</c:v>
          </c:tx>
          <c:xVal>
            <c:strRef>
              <c:f>'TTRs '!$B$4:$B$11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'!$F$4:$F$11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1-4098-AEB4-F17ECCF10869}"/>
            </c:ext>
          </c:extLst>
        </c:ser>
        <c:ser>
          <c:idx val="1"/>
          <c:order val="1"/>
          <c:tx>
            <c:strRef>
              <c:f>'TTRs '!$A$13</c:f>
              <c:strCache>
                <c:ptCount val="1"/>
              </c:strCache>
            </c:strRef>
          </c:tx>
          <c:xVal>
            <c:numRef>
              <c:f>'TTRs '!$B$14:$B$23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'!$F$14:$F$23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A1-4098-AEB4-F17ECCF10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04920"/>
        <c:axId val="446505312"/>
      </c:scatterChart>
      <c:valAx>
        <c:axId val="446504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05312"/>
        <c:crosses val="autoZero"/>
        <c:crossBetween val="midCat"/>
      </c:valAx>
      <c:valAx>
        <c:axId val="4465053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TTR</a:t>
                </a:r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65049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949751346871114"/>
          <c:y val="5.2756652046484368E-3"/>
          <c:w val="0.17630421683670866"/>
          <c:h val="0.182499121209870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conc 13C-16:0</a:t>
            </a:r>
            <a:endParaRPr lang="en-US"/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v>Chylos</c:v>
          </c:tx>
          <c:xVal>
            <c:strRef>
              <c:f>'TTRs '!$B$4:$B$11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'!$N$4:$N$11</c:f>
              <c:numCache>
                <c:formatCode>0.000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9-471D-B5CB-1A40D32B6B2F}"/>
            </c:ext>
          </c:extLst>
        </c:ser>
        <c:ser>
          <c:idx val="1"/>
          <c:order val="1"/>
          <c:tx>
            <c:strRef>
              <c:f>'TTRs '!$A$13</c:f>
              <c:strCache>
                <c:ptCount val="1"/>
              </c:strCache>
            </c:strRef>
          </c:tx>
          <c:xVal>
            <c:numRef>
              <c:f>'TTRs '!$B$14:$B$23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'!$N$14:$N$23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D9-471D-B5CB-1A40D32B6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06096"/>
        <c:axId val="511988928"/>
      </c:scatterChart>
      <c:valAx>
        <c:axId val="44650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988928"/>
        <c:crosses val="autoZero"/>
        <c:crossBetween val="midCat"/>
      </c:valAx>
      <c:valAx>
        <c:axId val="5119889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13C</a:t>
                </a:r>
                <a:r>
                  <a:rPr lang="en-US" baseline="0"/>
                  <a:t> 16:0 umol/l)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600450433092274E-2"/>
              <c:y val="0.34452633714602027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465060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07256145510997"/>
          <c:y val="3.127390844100289E-2"/>
          <c:w val="0.17630421683670866"/>
          <c:h val="0.1996283004541687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13C16:1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'!$F$30:$F$37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F9-4419-890F-60E5629ACCEC}"/>
            </c:ext>
          </c:extLst>
        </c:ser>
        <c:ser>
          <c:idx val="1"/>
          <c:order val="1"/>
          <c:tx>
            <c:strRef>
              <c:f>'TTRs '!$A$43</c:f>
              <c:strCache>
                <c:ptCount val="1"/>
              </c:strCache>
            </c:strRef>
          </c:tx>
          <c:xVal>
            <c:numRef>
              <c:f>'TTRs '!$B$40:$B$49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'!$F$40:$F$49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F9-4419-890F-60E5629AC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90104"/>
        <c:axId val="511990496"/>
      </c:scatterChart>
      <c:valAx>
        <c:axId val="511990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1990496"/>
        <c:crosses val="autoZero"/>
        <c:crossBetween val="midCat"/>
      </c:valAx>
      <c:valAx>
        <c:axId val="5119904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TTR</a:t>
                </a:r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11990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809997214035405"/>
          <c:y val="3.127390844100289E-2"/>
          <c:w val="0.24892989633279089"/>
          <c:h val="0.1333131256822985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conc 13C16:1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33834806961979"/>
          <c:y val="6.5799595846979322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'!$N$30:$N$37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D-4CE1-84BC-04554D6D82A2}"/>
            </c:ext>
          </c:extLst>
        </c:ser>
        <c:ser>
          <c:idx val="1"/>
          <c:order val="1"/>
          <c:tx>
            <c:strRef>
              <c:f>'TTRs '!$A$43</c:f>
              <c:strCache>
                <c:ptCount val="1"/>
              </c:strCache>
            </c:strRef>
          </c:tx>
          <c:xVal>
            <c:numRef>
              <c:f>'TTRs '!$B$40:$B$49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'!$N$40:$N$49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2D-4CE1-84BC-04554D6D8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505336"/>
        <c:axId val="451505728"/>
      </c:scatterChart>
      <c:valAx>
        <c:axId val="451505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505728"/>
        <c:crosses val="autoZero"/>
        <c:crossBetween val="midCat"/>
      </c:valAx>
      <c:valAx>
        <c:axId val="4515057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13C 16:0 umol/l)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515053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567911552955347"/>
          <c:y val="3.127390844100289E-2"/>
          <c:w val="0.35135075294359158"/>
          <c:h val="0.1303632731749239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13C18:2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'!$F$56:$F$63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4-4077-9365-052E92AC75C6}"/>
            </c:ext>
          </c:extLst>
        </c:ser>
        <c:ser>
          <c:idx val="1"/>
          <c:order val="1"/>
          <c:tx>
            <c:strRef>
              <c:f>'TTRs '!$A$65</c:f>
              <c:strCache>
                <c:ptCount val="1"/>
              </c:strCache>
            </c:strRef>
          </c:tx>
          <c:xVal>
            <c:numRef>
              <c:f>'TTRs '!$B$66:$B$75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'!$F$66:$F$75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44-4077-9365-052E92AC7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89712"/>
        <c:axId val="451506512"/>
      </c:scatterChart>
      <c:valAx>
        <c:axId val="51198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506512"/>
        <c:crosses val="autoZero"/>
        <c:crossBetween val="midCat"/>
      </c:valAx>
      <c:valAx>
        <c:axId val="4515065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TTR</a:t>
                </a:r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11989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809997214035405"/>
          <c:y val="3.127390844100289E-2"/>
          <c:w val="0.11938851789095983"/>
          <c:h val="0.10437468043767256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conc 13C18:2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33834806961979"/>
          <c:y val="6.5799595846979322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'!$N$56:$N$63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8-4F82-A33C-4B408C0E8060}"/>
            </c:ext>
          </c:extLst>
        </c:ser>
        <c:ser>
          <c:idx val="1"/>
          <c:order val="1"/>
          <c:tx>
            <c:strRef>
              <c:f>'TTRs '!$A$43</c:f>
              <c:strCache>
                <c:ptCount val="1"/>
              </c:strCache>
            </c:strRef>
          </c:tx>
          <c:xVal>
            <c:numRef>
              <c:f>'TTRs '!$B$40:$B$49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'!$N$66:$N$75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A8-4F82-A33C-4B408C0E8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641496"/>
        <c:axId val="454641888"/>
      </c:scatterChart>
      <c:valAx>
        <c:axId val="454641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41888"/>
        <c:crosses val="autoZero"/>
        <c:crossBetween val="midCat"/>
      </c:valAx>
      <c:valAx>
        <c:axId val="4546418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13C 16:0 umol/l)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54641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567911552955347"/>
          <c:y val="3.127390844100289E-2"/>
          <c:w val="0.35135075294359158"/>
          <c:h val="0.1303632731749239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396129</xdr:colOff>
      <xdr:row>7</xdr:row>
      <xdr:rowOff>80122</xdr:rowOff>
    </xdr:from>
    <xdr:to>
      <xdr:col>125</xdr:col>
      <xdr:colOff>201146</xdr:colOff>
      <xdr:row>40</xdr:row>
      <xdr:rowOff>18489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103</xdr:col>
      <xdr:colOff>581025</xdr:colOff>
      <xdr:row>42</xdr:row>
      <xdr:rowOff>0</xdr:rowOff>
    </xdr:from>
    <xdr:to>
      <xdr:col>131</xdr:col>
      <xdr:colOff>142875</xdr:colOff>
      <xdr:row>42</xdr:row>
      <xdr:rowOff>114300</xdr:rowOff>
    </xdr:to>
    <xdr:graphicFrame macro="">
      <xdr:nvGraphicFramePr>
        <xdr:cNvPr id="17" name="Chart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247649</xdr:colOff>
      <xdr:row>0</xdr:row>
      <xdr:rowOff>142876</xdr:rowOff>
    </xdr:from>
    <xdr:to>
      <xdr:col>25</xdr:col>
      <xdr:colOff>85724</xdr:colOff>
      <xdr:row>22</xdr:row>
      <xdr:rowOff>38100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0</xdr:row>
      <xdr:rowOff>152400</xdr:rowOff>
    </xdr:from>
    <xdr:to>
      <xdr:col>35</xdr:col>
      <xdr:colOff>352425</xdr:colOff>
      <xdr:row>22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161925</xdr:colOff>
      <xdr:row>24</xdr:row>
      <xdr:rowOff>152400</xdr:rowOff>
    </xdr:from>
    <xdr:to>
      <xdr:col>25</xdr:col>
      <xdr:colOff>85725</xdr:colOff>
      <xdr:row>50</xdr:row>
      <xdr:rowOff>28575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581025</xdr:colOff>
      <xdr:row>25</xdr:row>
      <xdr:rowOff>0</xdr:rowOff>
    </xdr:from>
    <xdr:to>
      <xdr:col>35</xdr:col>
      <xdr:colOff>381000</xdr:colOff>
      <xdr:row>50</xdr:row>
      <xdr:rowOff>123825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53</xdr:row>
      <xdr:rowOff>0</xdr:rowOff>
    </xdr:from>
    <xdr:to>
      <xdr:col>24</xdr:col>
      <xdr:colOff>533400</xdr:colOff>
      <xdr:row>78</xdr:row>
      <xdr:rowOff>28575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53</xdr:row>
      <xdr:rowOff>0</xdr:rowOff>
    </xdr:from>
    <xdr:to>
      <xdr:col>35</xdr:col>
      <xdr:colOff>409575</xdr:colOff>
      <xdr:row>78</xdr:row>
      <xdr:rowOff>114300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2"/>
  <sheetViews>
    <sheetView tabSelected="1" zoomScale="50" zoomScaleNormal="50" workbookViewId="0">
      <pane xSplit="1" topLeftCell="AC1" activePane="topRight" state="frozen"/>
      <selection activeCell="AX60" sqref="AX60:BC60"/>
      <selection pane="topRight" activeCell="AE41" sqref="AE41"/>
    </sheetView>
  </sheetViews>
  <sheetFormatPr defaultColWidth="9.140625" defaultRowHeight="12.75" x14ac:dyDescent="0.2"/>
  <cols>
    <col min="1" max="1" width="11.28515625" style="69" customWidth="1"/>
    <col min="2" max="2" width="18" style="13" bestFit="1" customWidth="1"/>
    <col min="3" max="3" width="20" style="38" bestFit="1" customWidth="1"/>
    <col min="4" max="4" width="19" style="38" bestFit="1" customWidth="1"/>
    <col min="5" max="6" width="20" style="38" bestFit="1" customWidth="1"/>
    <col min="7" max="7" width="19" style="38" bestFit="1" customWidth="1"/>
    <col min="8" max="10" width="20" style="38" bestFit="1" customWidth="1"/>
    <col min="11" max="13" width="19" style="38" bestFit="1" customWidth="1"/>
    <col min="14" max="15" width="20" style="38" bestFit="1" customWidth="1"/>
    <col min="16" max="21" width="19" style="38" bestFit="1" customWidth="1"/>
    <col min="22" max="23" width="20" style="38" bestFit="1" customWidth="1"/>
    <col min="24" max="26" width="19" style="38" bestFit="1" customWidth="1"/>
    <col min="27" max="27" width="19" style="38" customWidth="1"/>
    <col min="28" max="29" width="22.140625" style="38" customWidth="1"/>
    <col min="30" max="30" width="10" style="13" customWidth="1"/>
    <col min="31" max="31" width="18" style="13" bestFit="1" customWidth="1"/>
    <col min="32" max="32" width="20" style="13" bestFit="1" customWidth="1"/>
    <col min="33" max="33" width="19" style="13" bestFit="1" customWidth="1"/>
    <col min="34" max="35" width="20" style="13" bestFit="1" customWidth="1"/>
    <col min="36" max="36" width="19" style="13" bestFit="1" customWidth="1"/>
    <col min="37" max="39" width="20" style="13" bestFit="1" customWidth="1"/>
    <col min="40" max="41" width="19" style="13" bestFit="1" customWidth="1"/>
    <col min="42" max="42" width="20" style="13" bestFit="1" customWidth="1"/>
    <col min="43" max="43" width="19" style="13" bestFit="1" customWidth="1"/>
    <col min="44" max="45" width="20" style="13" bestFit="1" customWidth="1"/>
    <col min="46" max="46" width="19" style="13" bestFit="1" customWidth="1"/>
    <col min="47" max="49" width="20" style="13" bestFit="1" customWidth="1"/>
    <col min="50" max="50" width="19" style="13" bestFit="1" customWidth="1"/>
    <col min="51" max="53" width="20" style="13" bestFit="1" customWidth="1"/>
    <col min="54" max="56" width="19" style="13" bestFit="1" customWidth="1"/>
    <col min="57" max="57" width="15.42578125" style="13" customWidth="1"/>
    <col min="58" max="59" width="9.140625" style="13" customWidth="1"/>
    <col min="60" max="60" width="18" style="13" bestFit="1" customWidth="1"/>
    <col min="61" max="61" width="20" style="13" bestFit="1" customWidth="1"/>
    <col min="62" max="62" width="19" style="13" bestFit="1" customWidth="1"/>
    <col min="63" max="64" width="20" style="13" bestFit="1" customWidth="1"/>
    <col min="65" max="65" width="19" style="13" bestFit="1" customWidth="1"/>
    <col min="66" max="68" width="20" style="13" bestFit="1" customWidth="1"/>
    <col min="69" max="72" width="19" style="13" bestFit="1" customWidth="1"/>
    <col min="73" max="74" width="20" style="13" bestFit="1" customWidth="1"/>
    <col min="75" max="75" width="19" style="13" bestFit="1" customWidth="1"/>
    <col min="76" max="78" width="20" style="13" bestFit="1" customWidth="1"/>
    <col min="79" max="81" width="19" style="13" bestFit="1" customWidth="1"/>
    <col min="82" max="82" width="22.140625" style="13" bestFit="1" customWidth="1"/>
    <col min="83" max="87" width="9.140625" style="13"/>
    <col min="88" max="88" width="13.7109375" style="13" customWidth="1"/>
    <col min="89" max="16384" width="9.140625" style="13"/>
  </cols>
  <sheetData>
    <row r="1" spans="1:115" x14ac:dyDescent="0.2"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5"/>
      <c r="AE1" s="16"/>
      <c r="AF1" s="17"/>
      <c r="AG1" s="17"/>
      <c r="AH1" s="17"/>
      <c r="AI1" s="17"/>
      <c r="AJ1" s="17"/>
      <c r="AK1" s="17"/>
      <c r="AM1" s="17"/>
      <c r="AP1" s="17"/>
      <c r="AQ1" s="17"/>
      <c r="AR1" s="17"/>
      <c r="AS1" s="17"/>
      <c r="AT1" s="17"/>
      <c r="AU1" s="17"/>
      <c r="AW1" s="17"/>
      <c r="AX1" s="17"/>
      <c r="AY1" s="17"/>
      <c r="BA1" s="17"/>
    </row>
    <row r="2" spans="1:115" ht="18" x14ac:dyDescent="0.25">
      <c r="C2" s="40" t="s">
        <v>48</v>
      </c>
      <c r="D2" s="66" t="s">
        <v>81</v>
      </c>
      <c r="E2" s="68" t="s">
        <v>46</v>
      </c>
      <c r="F2" s="39"/>
      <c r="AD2" s="63"/>
      <c r="AE2" s="17"/>
      <c r="AF2" s="17"/>
      <c r="AG2" s="17"/>
      <c r="AH2" s="17"/>
      <c r="AI2" s="17"/>
      <c r="AJ2" s="17"/>
      <c r="AK2" s="17"/>
      <c r="AM2" s="17"/>
      <c r="AP2" s="17"/>
      <c r="AQ2" s="17"/>
      <c r="AR2" s="17"/>
      <c r="AS2" s="17"/>
      <c r="AT2" s="17"/>
      <c r="AU2" s="17"/>
      <c r="AW2" s="17"/>
      <c r="AX2" s="17"/>
      <c r="AY2" s="17"/>
      <c r="BA2" s="17"/>
      <c r="BG2" s="63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9"/>
      <c r="BS2" s="19"/>
      <c r="BT2" s="18"/>
      <c r="BU2" s="18"/>
      <c r="BV2" s="18"/>
      <c r="BW2" s="18"/>
      <c r="BX2" s="18"/>
      <c r="BY2" s="18"/>
      <c r="BZ2" s="18"/>
      <c r="CA2" s="18"/>
      <c r="CB2" s="19"/>
      <c r="CC2" s="19"/>
    </row>
    <row r="3" spans="1:115" ht="39" x14ac:dyDescent="0.25">
      <c r="A3" s="70"/>
      <c r="C3" s="40"/>
      <c r="D3" s="40" t="s">
        <v>8</v>
      </c>
      <c r="E3" s="64">
        <f>23.67/2</f>
        <v>11.835000000000001</v>
      </c>
      <c r="F3" s="58"/>
      <c r="AD3" s="67" t="s">
        <v>45</v>
      </c>
      <c r="AE3" s="17"/>
      <c r="AF3" s="17"/>
      <c r="AG3" s="17"/>
      <c r="AH3" s="17"/>
      <c r="AI3" s="17"/>
      <c r="AJ3" s="17"/>
      <c r="AK3" s="17"/>
      <c r="AM3" s="17"/>
      <c r="AP3" s="17"/>
      <c r="AQ3" s="17"/>
      <c r="AR3" s="17"/>
      <c r="AS3" s="17"/>
      <c r="AT3" s="17"/>
      <c r="AU3" s="17"/>
      <c r="AW3" s="17"/>
      <c r="AX3" s="17"/>
      <c r="AY3" s="17"/>
      <c r="BA3" s="17"/>
      <c r="BG3" s="63" t="s">
        <v>44</v>
      </c>
      <c r="BH3" s="20"/>
      <c r="BI3" s="18"/>
      <c r="BJ3" s="18"/>
      <c r="BK3" s="18"/>
      <c r="BL3" s="18"/>
      <c r="BM3" s="18"/>
      <c r="BN3" s="18"/>
      <c r="BO3" s="18"/>
      <c r="BP3" s="18"/>
      <c r="BQ3" s="18"/>
      <c r="BR3" s="19"/>
      <c r="BS3" s="19"/>
      <c r="BT3" s="18"/>
      <c r="BU3" s="18"/>
      <c r="BV3" s="18"/>
      <c r="BW3" s="18"/>
      <c r="BX3" s="18"/>
      <c r="BY3" s="18"/>
      <c r="BZ3" s="18"/>
      <c r="CA3" s="18"/>
      <c r="CB3" s="19"/>
      <c r="CC3" s="19"/>
    </row>
    <row r="4" spans="1:115" ht="18" x14ac:dyDescent="0.25">
      <c r="A4" s="70" t="s">
        <v>44</v>
      </c>
      <c r="C4" s="41"/>
      <c r="D4" s="41" t="s">
        <v>10</v>
      </c>
      <c r="E4" s="65">
        <f>49.04/2</f>
        <v>24.52</v>
      </c>
      <c r="F4" s="59"/>
      <c r="AD4" s="13" t="s">
        <v>11</v>
      </c>
      <c r="AE4" s="21">
        <v>0.15</v>
      </c>
      <c r="AF4" s="21">
        <v>0.15</v>
      </c>
      <c r="AG4" s="21">
        <v>0.15</v>
      </c>
      <c r="AH4" s="21">
        <v>0.15</v>
      </c>
      <c r="AI4" s="21">
        <v>0.15</v>
      </c>
      <c r="AJ4" s="21">
        <v>0.15</v>
      </c>
      <c r="AK4" s="21">
        <v>0.15</v>
      </c>
      <c r="AL4" s="21">
        <v>0.15</v>
      </c>
      <c r="AM4" s="21">
        <v>0.15</v>
      </c>
      <c r="AN4" s="21">
        <v>0.15</v>
      </c>
      <c r="AO4" s="21">
        <v>0.15</v>
      </c>
      <c r="AP4" s="21">
        <v>0.15</v>
      </c>
      <c r="AQ4" s="21">
        <v>0.15</v>
      </c>
      <c r="AR4" s="21">
        <v>0.15</v>
      </c>
      <c r="AS4" s="21">
        <v>0.15</v>
      </c>
      <c r="AT4" s="21">
        <v>0.15</v>
      </c>
      <c r="AU4" s="21">
        <v>0.15</v>
      </c>
      <c r="AV4" s="21">
        <v>0.15</v>
      </c>
      <c r="AW4" s="21">
        <v>0.15</v>
      </c>
      <c r="AX4" s="21">
        <v>0.15</v>
      </c>
      <c r="AY4" s="21">
        <v>0.15</v>
      </c>
      <c r="AZ4" s="21">
        <v>0.15</v>
      </c>
      <c r="BA4" s="21">
        <v>0.15</v>
      </c>
      <c r="BB4" s="21">
        <v>0.15</v>
      </c>
      <c r="BC4" s="21">
        <v>0.15</v>
      </c>
      <c r="BD4" s="21">
        <v>0.15</v>
      </c>
      <c r="BE4" s="21">
        <v>0.15</v>
      </c>
      <c r="BF4" s="21"/>
      <c r="BG4" s="22" t="s">
        <v>12</v>
      </c>
      <c r="BH4" s="20"/>
      <c r="BI4" s="20"/>
      <c r="BJ4" s="20"/>
      <c r="BK4" s="20"/>
      <c r="BL4" s="20"/>
      <c r="BM4" s="20"/>
      <c r="BN4" s="20"/>
      <c r="BO4" s="20"/>
      <c r="BP4" s="20"/>
      <c r="BQ4" s="18"/>
      <c r="BR4" s="19"/>
      <c r="BS4" s="19"/>
      <c r="BT4" s="20"/>
      <c r="BU4" s="20"/>
      <c r="BV4" s="20"/>
      <c r="BW4" s="20"/>
      <c r="BX4" s="20"/>
      <c r="BY4" s="20"/>
      <c r="BZ4" s="20"/>
      <c r="CA4" s="18"/>
      <c r="CB4" s="19"/>
      <c r="CC4" s="19"/>
    </row>
    <row r="5" spans="1:115" x14ac:dyDescent="0.2">
      <c r="A5" s="71" t="s">
        <v>47</v>
      </c>
      <c r="B5" s="74" t="s">
        <v>244</v>
      </c>
      <c r="C5" s="74" t="s">
        <v>245</v>
      </c>
      <c r="D5" s="74" t="s">
        <v>246</v>
      </c>
      <c r="E5" s="74" t="s">
        <v>247</v>
      </c>
      <c r="F5" s="74" t="s">
        <v>248</v>
      </c>
      <c r="G5" s="74" t="s">
        <v>249</v>
      </c>
      <c r="H5" s="74" t="s">
        <v>250</v>
      </c>
      <c r="I5" s="74" t="s">
        <v>251</v>
      </c>
      <c r="J5" s="74" t="s">
        <v>252</v>
      </c>
      <c r="K5" s="74" t="s">
        <v>82</v>
      </c>
      <c r="L5" s="74" t="s">
        <v>83</v>
      </c>
      <c r="M5" s="74" t="s">
        <v>84</v>
      </c>
      <c r="N5" s="74" t="s">
        <v>85</v>
      </c>
      <c r="O5" s="74" t="s">
        <v>86</v>
      </c>
      <c r="P5" s="74" t="s">
        <v>87</v>
      </c>
      <c r="Q5" s="74" t="s">
        <v>88</v>
      </c>
      <c r="R5" s="74" t="s">
        <v>89</v>
      </c>
      <c r="S5" s="74" t="s">
        <v>90</v>
      </c>
      <c r="T5" s="74" t="s">
        <v>91</v>
      </c>
      <c r="U5" s="74" t="s">
        <v>92</v>
      </c>
      <c r="V5" s="74" t="s">
        <v>93</v>
      </c>
      <c r="W5" s="74" t="s">
        <v>94</v>
      </c>
      <c r="X5" s="74" t="s">
        <v>95</v>
      </c>
      <c r="Y5" s="74" t="s">
        <v>96</v>
      </c>
      <c r="Z5" s="74" t="s">
        <v>97</v>
      </c>
      <c r="AA5" s="74" t="s">
        <v>98</v>
      </c>
      <c r="AB5" s="74" t="s">
        <v>99</v>
      </c>
      <c r="AC5" s="74"/>
      <c r="AD5" s="13" t="s">
        <v>13</v>
      </c>
      <c r="AE5" s="23" t="str">
        <f t="shared" ref="AE5:BE5" si="0">B5</f>
        <v>OPLA 0.1</v>
      </c>
      <c r="AF5" s="23" t="str">
        <f t="shared" si="0"/>
        <v>OPLA 0.2</v>
      </c>
      <c r="AG5" s="23" t="str">
        <f t="shared" si="0"/>
        <v>OPLA 0.3</v>
      </c>
      <c r="AH5" s="23" t="str">
        <f t="shared" si="0"/>
        <v>OPLA 2.1</v>
      </c>
      <c r="AI5" s="23" t="str">
        <f t="shared" si="0"/>
        <v>OPLA 2.2</v>
      </c>
      <c r="AJ5" s="23" t="str">
        <f t="shared" si="0"/>
        <v>OPLA 2.3</v>
      </c>
      <c r="AK5" s="23" t="str">
        <f t="shared" si="0"/>
        <v>OPLA 8.1</v>
      </c>
      <c r="AL5" s="23" t="str">
        <f t="shared" si="0"/>
        <v>OPLA 8.2</v>
      </c>
      <c r="AM5" s="23" t="str">
        <f t="shared" si="0"/>
        <v>OPLA 8.3</v>
      </c>
      <c r="AN5" s="23" t="str">
        <f t="shared" si="0"/>
        <v>OPLA 0.4</v>
      </c>
      <c r="AO5" s="23" t="str">
        <f t="shared" si="0"/>
        <v>OPLA 0.5</v>
      </c>
      <c r="AP5" s="23" t="str">
        <f t="shared" si="0"/>
        <v>OPLA 0.6</v>
      </c>
      <c r="AQ5" s="23" t="str">
        <f t="shared" si="0"/>
        <v>OPLA 0.7</v>
      </c>
      <c r="AR5" s="23" t="str">
        <f t="shared" si="0"/>
        <v>OPLA 0.8</v>
      </c>
      <c r="AS5" s="23" t="str">
        <f t="shared" si="0"/>
        <v>OPLA 0.9</v>
      </c>
      <c r="AT5" s="23" t="str">
        <f t="shared" si="0"/>
        <v>OPLA 2.4</v>
      </c>
      <c r="AU5" s="23" t="str">
        <f t="shared" si="0"/>
        <v>OPLA 2.5</v>
      </c>
      <c r="AV5" s="23" t="str">
        <f t="shared" si="0"/>
        <v>OPLA 2.6</v>
      </c>
      <c r="AW5" s="23" t="str">
        <f t="shared" si="0"/>
        <v>OPLA 2.7</v>
      </c>
      <c r="AX5" s="23" t="str">
        <f t="shared" si="0"/>
        <v>OPLA 2.8</v>
      </c>
      <c r="AY5" s="23" t="str">
        <f t="shared" si="0"/>
        <v>OPLA 2.9</v>
      </c>
      <c r="AZ5" s="23" t="str">
        <f t="shared" si="0"/>
        <v>OPLA 8.4</v>
      </c>
      <c r="BA5" s="23" t="str">
        <f t="shared" si="0"/>
        <v>OPLA 8.5</v>
      </c>
      <c r="BB5" s="23" t="str">
        <f t="shared" si="0"/>
        <v>OPLA 8.6</v>
      </c>
      <c r="BC5" s="23" t="str">
        <f t="shared" si="0"/>
        <v>OPLA 8.7</v>
      </c>
      <c r="BD5" s="23" t="str">
        <f t="shared" si="0"/>
        <v>OPLA 8.8</v>
      </c>
      <c r="BE5" s="23" t="str">
        <f t="shared" si="0"/>
        <v>OPLA 8.9</v>
      </c>
      <c r="BF5" s="24"/>
      <c r="BG5" s="24"/>
      <c r="BH5" s="23" t="str">
        <f>AE5</f>
        <v>OPLA 0.1</v>
      </c>
      <c r="BI5" s="23" t="str">
        <f>AF5</f>
        <v>OPLA 0.2</v>
      </c>
      <c r="BJ5" s="23" t="str">
        <f>AG5</f>
        <v>OPLA 0.3</v>
      </c>
      <c r="BK5" s="23" t="str">
        <f t="shared" ref="BK5:CD5" si="1">AH5</f>
        <v>OPLA 2.1</v>
      </c>
      <c r="BL5" s="23" t="str">
        <f t="shared" si="1"/>
        <v>OPLA 2.2</v>
      </c>
      <c r="BM5" s="23" t="str">
        <f t="shared" si="1"/>
        <v>OPLA 2.3</v>
      </c>
      <c r="BN5" s="23" t="str">
        <f t="shared" si="1"/>
        <v>OPLA 8.1</v>
      </c>
      <c r="BO5" s="23" t="str">
        <f t="shared" si="1"/>
        <v>OPLA 8.2</v>
      </c>
      <c r="BP5" s="23" t="str">
        <f t="shared" si="1"/>
        <v>OPLA 8.3</v>
      </c>
      <c r="BQ5" s="23" t="str">
        <f t="shared" si="1"/>
        <v>OPLA 0.4</v>
      </c>
      <c r="BR5" s="23" t="str">
        <f t="shared" si="1"/>
        <v>OPLA 0.5</v>
      </c>
      <c r="BS5" s="23" t="str">
        <f t="shared" si="1"/>
        <v>OPLA 0.6</v>
      </c>
      <c r="BT5" s="23" t="str">
        <f t="shared" si="1"/>
        <v>OPLA 0.7</v>
      </c>
      <c r="BU5" s="23" t="str">
        <f t="shared" si="1"/>
        <v>OPLA 0.8</v>
      </c>
      <c r="BV5" s="23" t="str">
        <f t="shared" si="1"/>
        <v>OPLA 0.9</v>
      </c>
      <c r="BW5" s="23" t="str">
        <f t="shared" si="1"/>
        <v>OPLA 2.4</v>
      </c>
      <c r="BX5" s="23" t="str">
        <f t="shared" si="1"/>
        <v>OPLA 2.5</v>
      </c>
      <c r="BY5" s="23" t="str">
        <f t="shared" si="1"/>
        <v>OPLA 2.6</v>
      </c>
      <c r="BZ5" s="23" t="str">
        <f t="shared" si="1"/>
        <v>OPLA 2.7</v>
      </c>
      <c r="CA5" s="23" t="str">
        <f t="shared" si="1"/>
        <v>OPLA 2.8</v>
      </c>
      <c r="CB5" s="23" t="str">
        <f t="shared" si="1"/>
        <v>OPLA 2.9</v>
      </c>
      <c r="CC5" s="23" t="str">
        <f t="shared" si="1"/>
        <v>OPLA 8.4</v>
      </c>
      <c r="CD5" s="23" t="str">
        <f t="shared" si="1"/>
        <v>OPLA 8.5</v>
      </c>
      <c r="CE5" s="23" t="str">
        <f t="shared" ref="CE5" si="2">BB5</f>
        <v>OPLA 8.6</v>
      </c>
      <c r="CF5" s="23" t="str">
        <f t="shared" ref="CF5" si="3">BC5</f>
        <v>OPLA 8.7</v>
      </c>
      <c r="CG5" s="23" t="str">
        <f t="shared" ref="CG5:CH5" si="4">BD5</f>
        <v>OPLA 8.8</v>
      </c>
      <c r="CH5" s="23" t="str">
        <f t="shared" si="4"/>
        <v>OPLA 8.9</v>
      </c>
      <c r="CJ5" s="47"/>
      <c r="CK5" s="23" t="str">
        <f>BH5</f>
        <v>OPLA 0.1</v>
      </c>
      <c r="CL5" s="23" t="str">
        <f>BI5</f>
        <v>OPLA 0.2</v>
      </c>
      <c r="CM5" s="23" t="str">
        <f>BJ5</f>
        <v>OPLA 0.3</v>
      </c>
      <c r="CN5" s="23" t="str">
        <f>BK5</f>
        <v>OPLA 2.1</v>
      </c>
      <c r="CO5" s="23" t="str">
        <f>BL5</f>
        <v>OPLA 2.2</v>
      </c>
      <c r="CP5" s="23" t="str">
        <f>BM5</f>
        <v>OPLA 2.3</v>
      </c>
      <c r="CQ5" s="23" t="str">
        <f>BN5</f>
        <v>OPLA 8.1</v>
      </c>
      <c r="CR5" s="23" t="str">
        <f>BO5</f>
        <v>OPLA 8.2</v>
      </c>
      <c r="CS5" s="23" t="str">
        <f>BP5</f>
        <v>OPLA 8.3</v>
      </c>
      <c r="CT5" s="23" t="str">
        <f>BQ5</f>
        <v>OPLA 0.4</v>
      </c>
      <c r="CU5" s="23" t="str">
        <f>BR5</f>
        <v>OPLA 0.5</v>
      </c>
      <c r="CV5" s="23" t="str">
        <f>BS5</f>
        <v>OPLA 0.6</v>
      </c>
      <c r="CW5" s="23" t="str">
        <f>BT5</f>
        <v>OPLA 0.7</v>
      </c>
      <c r="CX5" s="23" t="str">
        <f>BU5</f>
        <v>OPLA 0.8</v>
      </c>
      <c r="CY5" s="23" t="str">
        <f>BV5</f>
        <v>OPLA 0.9</v>
      </c>
      <c r="CZ5" s="23" t="str">
        <f>BW5</f>
        <v>OPLA 2.4</v>
      </c>
      <c r="DA5" s="23" t="str">
        <f>BX5</f>
        <v>OPLA 2.5</v>
      </c>
      <c r="DB5" s="23" t="str">
        <f>BY5</f>
        <v>OPLA 2.6</v>
      </c>
      <c r="DC5" s="23" t="str">
        <f>BZ5</f>
        <v>OPLA 2.7</v>
      </c>
      <c r="DD5" s="23" t="str">
        <f>CA5</f>
        <v>OPLA 2.8</v>
      </c>
      <c r="DE5" s="23" t="str">
        <f>CB5</f>
        <v>OPLA 2.9</v>
      </c>
      <c r="DF5" s="23" t="str">
        <f>CC5</f>
        <v>OPLA 8.4</v>
      </c>
      <c r="DG5" s="23" t="str">
        <f t="shared" ref="DG5" si="5">CD5</f>
        <v>OPLA 8.5</v>
      </c>
      <c r="DH5" s="23" t="str">
        <f t="shared" ref="DH5" si="6">CE5</f>
        <v>OPLA 8.6</v>
      </c>
      <c r="DI5" s="23" t="str">
        <f t="shared" ref="DI5" si="7">CF5</f>
        <v>OPLA 8.7</v>
      </c>
      <c r="DJ5" s="23" t="str">
        <f t="shared" ref="DJ5" si="8">CG5</f>
        <v>OPLA 8.8</v>
      </c>
      <c r="DK5" s="23" t="str">
        <f t="shared" ref="DK5" si="9">CH5</f>
        <v>OPLA 8.9</v>
      </c>
    </row>
    <row r="6" spans="1:115" ht="15" x14ac:dyDescent="0.25">
      <c r="A6" s="72" t="s">
        <v>50</v>
      </c>
      <c r="B6" s="74">
        <v>0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  <c r="AC6" s="74"/>
      <c r="AD6" s="27">
        <v>0.33333333333333331</v>
      </c>
      <c r="AE6" s="13">
        <f t="shared" ref="AE6:BE6" si="10">((B$6/B$18)*$E$3)/144.4*(1/AE$4*1000)/2</f>
        <v>0</v>
      </c>
      <c r="AF6" s="13">
        <f t="shared" si="10"/>
        <v>0</v>
      </c>
      <c r="AG6" s="13">
        <f t="shared" si="10"/>
        <v>0</v>
      </c>
      <c r="AH6" s="13">
        <f t="shared" si="10"/>
        <v>0</v>
      </c>
      <c r="AI6" s="13">
        <f t="shared" si="10"/>
        <v>0</v>
      </c>
      <c r="AJ6" s="13">
        <f t="shared" si="10"/>
        <v>0</v>
      </c>
      <c r="AK6" s="13">
        <f t="shared" si="10"/>
        <v>0</v>
      </c>
      <c r="AL6" s="13">
        <f t="shared" si="10"/>
        <v>0</v>
      </c>
      <c r="AM6" s="13">
        <f t="shared" si="10"/>
        <v>0</v>
      </c>
      <c r="AN6" s="13">
        <f t="shared" si="10"/>
        <v>0</v>
      </c>
      <c r="AO6" s="13">
        <f t="shared" si="10"/>
        <v>0</v>
      </c>
      <c r="AP6" s="13">
        <f t="shared" si="10"/>
        <v>0</v>
      </c>
      <c r="AQ6" s="13">
        <f t="shared" si="10"/>
        <v>0</v>
      </c>
      <c r="AR6" s="13">
        <f t="shared" si="10"/>
        <v>0</v>
      </c>
      <c r="AS6" s="13">
        <f t="shared" si="10"/>
        <v>0</v>
      </c>
      <c r="AT6" s="13">
        <f t="shared" si="10"/>
        <v>0</v>
      </c>
      <c r="AU6" s="13">
        <f t="shared" si="10"/>
        <v>0</v>
      </c>
      <c r="AV6" s="13">
        <f t="shared" si="10"/>
        <v>0</v>
      </c>
      <c r="AW6" s="13">
        <f t="shared" si="10"/>
        <v>0</v>
      </c>
      <c r="AX6" s="13">
        <f t="shared" si="10"/>
        <v>0</v>
      </c>
      <c r="AY6" s="13">
        <f t="shared" si="10"/>
        <v>0</v>
      </c>
      <c r="AZ6" s="13">
        <f t="shared" si="10"/>
        <v>0</v>
      </c>
      <c r="BA6" s="13">
        <f t="shared" si="10"/>
        <v>0</v>
      </c>
      <c r="BB6" s="13">
        <f t="shared" si="10"/>
        <v>0</v>
      </c>
      <c r="BC6" s="13">
        <f t="shared" si="10"/>
        <v>0</v>
      </c>
      <c r="BD6" s="13">
        <f t="shared" si="10"/>
        <v>0</v>
      </c>
      <c r="BE6" s="13">
        <f t="shared" si="10"/>
        <v>0</v>
      </c>
      <c r="BG6" s="27">
        <v>0.33333333333333331</v>
      </c>
      <c r="BH6" s="29">
        <f>AE6*100/AE$39</f>
        <v>0</v>
      </c>
      <c r="BI6" s="29">
        <f>AF6*100/AF$39</f>
        <v>0</v>
      </c>
      <c r="BJ6" s="29">
        <f>AG6*100/AG$39</f>
        <v>0</v>
      </c>
      <c r="BK6" s="29">
        <f t="shared" ref="BK6:CD9" si="11">AH6*100/AH$39</f>
        <v>0</v>
      </c>
      <c r="BL6" s="29">
        <f t="shared" si="11"/>
        <v>0</v>
      </c>
      <c r="BM6" s="29">
        <f t="shared" si="11"/>
        <v>0</v>
      </c>
      <c r="BN6" s="29">
        <f t="shared" si="11"/>
        <v>0</v>
      </c>
      <c r="BO6" s="29">
        <f t="shared" si="11"/>
        <v>0</v>
      </c>
      <c r="BP6" s="29">
        <f t="shared" si="11"/>
        <v>0</v>
      </c>
      <c r="BQ6" s="29">
        <f t="shared" si="11"/>
        <v>0</v>
      </c>
      <c r="BR6" s="29">
        <f t="shared" si="11"/>
        <v>0</v>
      </c>
      <c r="BS6" s="29">
        <f t="shared" si="11"/>
        <v>0</v>
      </c>
      <c r="BT6" s="29">
        <f t="shared" si="11"/>
        <v>0</v>
      </c>
      <c r="BU6" s="29">
        <f t="shared" si="11"/>
        <v>0</v>
      </c>
      <c r="BV6" s="29">
        <f t="shared" si="11"/>
        <v>0</v>
      </c>
      <c r="BW6" s="29">
        <f t="shared" si="11"/>
        <v>0</v>
      </c>
      <c r="BX6" s="29">
        <f t="shared" si="11"/>
        <v>0</v>
      </c>
      <c r="BY6" s="29">
        <f t="shared" si="11"/>
        <v>0</v>
      </c>
      <c r="BZ6" s="29">
        <f t="shared" si="11"/>
        <v>0</v>
      </c>
      <c r="CA6" s="29">
        <f t="shared" si="11"/>
        <v>0</v>
      </c>
      <c r="CB6" s="29">
        <f t="shared" si="11"/>
        <v>0</v>
      </c>
      <c r="CC6" s="29">
        <f t="shared" si="11"/>
        <v>0</v>
      </c>
      <c r="CD6" s="29">
        <f t="shared" si="11"/>
        <v>0</v>
      </c>
      <c r="CE6" s="29">
        <f t="shared" ref="CE6:CE9" si="12">BB6*100/BB$39</f>
        <v>0</v>
      </c>
      <c r="CF6" s="29">
        <f t="shared" ref="CF6:CF9" si="13">BC6*100/BC$39</f>
        <v>0</v>
      </c>
      <c r="CG6" s="29">
        <f t="shared" ref="CG6:CH9" si="14">BD6*100/BD$39</f>
        <v>0</v>
      </c>
      <c r="CH6" s="29">
        <f t="shared" si="14"/>
        <v>0</v>
      </c>
      <c r="CJ6" s="50" t="s">
        <v>35</v>
      </c>
      <c r="CK6" s="50">
        <f>BH23/BH15</f>
        <v>0.18547838819755236</v>
      </c>
      <c r="CL6" s="50">
        <f>BI23/BI15</f>
        <v>0.18316423909701077</v>
      </c>
      <c r="CM6" s="50">
        <f>BJ23/BJ15</f>
        <v>0.19250554753828478</v>
      </c>
      <c r="CN6" s="50">
        <f>BK23/BK15</f>
        <v>0.25605587441975308</v>
      </c>
      <c r="CO6" s="50">
        <f>BL23/BL15</f>
        <v>0.26345799921177671</v>
      </c>
      <c r="CP6" s="50">
        <f>BM23/BM15</f>
        <v>0.26900361829794384</v>
      </c>
      <c r="CQ6" s="50">
        <f>BN23/BN15</f>
        <v>0.32094512722522611</v>
      </c>
      <c r="CR6" s="50">
        <f>BO23/BO15</f>
        <v>0.32355275128526295</v>
      </c>
      <c r="CS6" s="50">
        <f>BP23/BP15</f>
        <v>0.31871996133534569</v>
      </c>
      <c r="CT6" s="50">
        <f>BQ23/BQ15</f>
        <v>0.2248313901314706</v>
      </c>
      <c r="CU6" s="50">
        <f>BR23/BR15</f>
        <v>0.23543104322327962</v>
      </c>
      <c r="CV6" s="50">
        <f>BS23/BS15</f>
        <v>0.21217744036233802</v>
      </c>
      <c r="CW6" s="50">
        <f t="shared" ref="CW6" si="15">CD23/CD15</f>
        <v>0.38437771158744916</v>
      </c>
      <c r="CX6" s="50" t="e">
        <f>#REF!/#REF!</f>
        <v>#REF!</v>
      </c>
      <c r="CY6" s="50" t="e">
        <f>#REF!/#REF!</f>
        <v>#REF!</v>
      </c>
      <c r="CZ6" s="50" t="e">
        <f>#REF!/#REF!</f>
        <v>#REF!</v>
      </c>
      <c r="DA6" s="50" t="e">
        <f>#REF!/#REF!</f>
        <v>#REF!</v>
      </c>
      <c r="DB6" s="50" t="e">
        <f>#REF!/#REF!</f>
        <v>#REF!</v>
      </c>
      <c r="DC6" s="50" t="e">
        <f>#REF!/#REF!</f>
        <v>#REF!</v>
      </c>
      <c r="DD6" s="50">
        <f>CA23/CA15</f>
        <v>0.29954866282168269</v>
      </c>
      <c r="DE6" s="50">
        <f>CB23/CB15</f>
        <v>0.32378308813835138</v>
      </c>
      <c r="DF6" s="50">
        <f>CC23/CC15</f>
        <v>0.37099744194454221</v>
      </c>
      <c r="DG6" s="50">
        <f>CD23/CD15</f>
        <v>0.38437771158744916</v>
      </c>
      <c r="DH6" s="50">
        <f>CE23/CE15</f>
        <v>0.37911764584439833</v>
      </c>
      <c r="DI6" s="50">
        <f t="shared" ref="DI6:DK6" si="16">CF23/CF15</f>
        <v>0.45168182019069714</v>
      </c>
      <c r="DJ6" s="50">
        <f t="shared" si="16"/>
        <v>0.45605123000471659</v>
      </c>
      <c r="DK6" s="50">
        <f t="shared" si="16"/>
        <v>0.45419125030819801</v>
      </c>
    </row>
    <row r="7" spans="1:115" ht="15" x14ac:dyDescent="0.25">
      <c r="A7" s="72" t="s">
        <v>51</v>
      </c>
      <c r="B7" s="74">
        <v>0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0</v>
      </c>
      <c r="X7" s="74">
        <v>0</v>
      </c>
      <c r="Y7" s="74">
        <v>0</v>
      </c>
      <c r="Z7" s="74">
        <v>0</v>
      </c>
      <c r="AA7" s="74">
        <v>0</v>
      </c>
      <c r="AB7" s="74">
        <v>0</v>
      </c>
      <c r="AC7" s="74"/>
      <c r="AD7" s="27">
        <v>0.41666666666666669</v>
      </c>
      <c r="AE7" s="13">
        <f t="shared" ref="AE7:BE7" si="17">((B$7/B$18)*$E$3)/172.4*(1/AE$4*1000)/2</f>
        <v>0</v>
      </c>
      <c r="AF7" s="13">
        <f t="shared" si="17"/>
        <v>0</v>
      </c>
      <c r="AG7" s="13">
        <f t="shared" si="17"/>
        <v>0</v>
      </c>
      <c r="AH7" s="13">
        <f t="shared" si="17"/>
        <v>0</v>
      </c>
      <c r="AI7" s="13">
        <f t="shared" si="17"/>
        <v>0</v>
      </c>
      <c r="AJ7" s="13">
        <f t="shared" si="17"/>
        <v>0</v>
      </c>
      <c r="AK7" s="13">
        <f t="shared" si="17"/>
        <v>0</v>
      </c>
      <c r="AL7" s="13">
        <f t="shared" si="17"/>
        <v>0</v>
      </c>
      <c r="AM7" s="13">
        <f t="shared" si="17"/>
        <v>0</v>
      </c>
      <c r="AN7" s="13">
        <f t="shared" si="17"/>
        <v>0</v>
      </c>
      <c r="AO7" s="13">
        <f t="shared" si="17"/>
        <v>0</v>
      </c>
      <c r="AP7" s="13">
        <f t="shared" si="17"/>
        <v>0</v>
      </c>
      <c r="AQ7" s="13">
        <f t="shared" si="17"/>
        <v>0</v>
      </c>
      <c r="AR7" s="13">
        <f t="shared" si="17"/>
        <v>0</v>
      </c>
      <c r="AS7" s="13">
        <f t="shared" si="17"/>
        <v>0</v>
      </c>
      <c r="AT7" s="13">
        <f t="shared" si="17"/>
        <v>0</v>
      </c>
      <c r="AU7" s="13">
        <f t="shared" si="17"/>
        <v>0</v>
      </c>
      <c r="AV7" s="13">
        <f t="shared" si="17"/>
        <v>0</v>
      </c>
      <c r="AW7" s="13">
        <f t="shared" si="17"/>
        <v>0</v>
      </c>
      <c r="AX7" s="13">
        <f t="shared" si="17"/>
        <v>0</v>
      </c>
      <c r="AY7" s="13">
        <f t="shared" si="17"/>
        <v>0</v>
      </c>
      <c r="AZ7" s="13">
        <f t="shared" si="17"/>
        <v>0</v>
      </c>
      <c r="BA7" s="13">
        <f t="shared" si="17"/>
        <v>0</v>
      </c>
      <c r="BB7" s="13">
        <f t="shared" si="17"/>
        <v>0</v>
      </c>
      <c r="BC7" s="13">
        <f t="shared" si="17"/>
        <v>0</v>
      </c>
      <c r="BD7" s="13">
        <f t="shared" si="17"/>
        <v>0</v>
      </c>
      <c r="BE7" s="13">
        <f t="shared" si="17"/>
        <v>0</v>
      </c>
      <c r="BG7" s="27">
        <v>0.41666666666666669</v>
      </c>
      <c r="BH7" s="29">
        <f>AE7*100/AE$39</f>
        <v>0</v>
      </c>
      <c r="BI7" s="29">
        <f>AF7*100/AF$39</f>
        <v>0</v>
      </c>
      <c r="BJ7" s="29">
        <f>AG7*100/AG$39</f>
        <v>0</v>
      </c>
      <c r="BK7" s="29">
        <f t="shared" si="11"/>
        <v>0</v>
      </c>
      <c r="BL7" s="29">
        <f t="shared" si="11"/>
        <v>0</v>
      </c>
      <c r="BM7" s="29">
        <f t="shared" si="11"/>
        <v>0</v>
      </c>
      <c r="BN7" s="29">
        <f t="shared" si="11"/>
        <v>0</v>
      </c>
      <c r="BO7" s="29">
        <f t="shared" si="11"/>
        <v>0</v>
      </c>
      <c r="BP7" s="29">
        <f t="shared" si="11"/>
        <v>0</v>
      </c>
      <c r="BQ7" s="29">
        <f t="shared" si="11"/>
        <v>0</v>
      </c>
      <c r="BR7" s="29">
        <f t="shared" si="11"/>
        <v>0</v>
      </c>
      <c r="BS7" s="29">
        <f t="shared" si="11"/>
        <v>0</v>
      </c>
      <c r="BT7" s="29">
        <f t="shared" si="11"/>
        <v>0</v>
      </c>
      <c r="BU7" s="29">
        <f t="shared" si="11"/>
        <v>0</v>
      </c>
      <c r="BV7" s="29">
        <f t="shared" si="11"/>
        <v>0</v>
      </c>
      <c r="BW7" s="29">
        <f t="shared" si="11"/>
        <v>0</v>
      </c>
      <c r="BX7" s="29">
        <f t="shared" si="11"/>
        <v>0</v>
      </c>
      <c r="BY7" s="29">
        <f t="shared" si="11"/>
        <v>0</v>
      </c>
      <c r="BZ7" s="29">
        <f t="shared" si="11"/>
        <v>0</v>
      </c>
      <c r="CA7" s="29">
        <f t="shared" si="11"/>
        <v>0</v>
      </c>
      <c r="CB7" s="29">
        <f t="shared" si="11"/>
        <v>0</v>
      </c>
      <c r="CC7" s="29">
        <f t="shared" si="11"/>
        <v>0</v>
      </c>
      <c r="CD7" s="29">
        <f t="shared" si="11"/>
        <v>0</v>
      </c>
      <c r="CE7" s="29">
        <f t="shared" si="12"/>
        <v>0</v>
      </c>
      <c r="CF7" s="29">
        <f t="shared" si="13"/>
        <v>0</v>
      </c>
      <c r="CG7" s="29">
        <f t="shared" si="14"/>
        <v>0</v>
      </c>
      <c r="CH7" s="29">
        <f t="shared" si="14"/>
        <v>0</v>
      </c>
      <c r="CJ7" s="48" t="s">
        <v>34</v>
      </c>
      <c r="CK7" s="49">
        <f>BH17/BH15</f>
        <v>0.24618252398200483</v>
      </c>
      <c r="CL7" s="49">
        <f>BI17/BI15</f>
        <v>0.23562915166224871</v>
      </c>
      <c r="CM7" s="49">
        <f>BJ17/BJ15</f>
        <v>0.23779743769751263</v>
      </c>
      <c r="CN7" s="49">
        <f>BK17/BK15</f>
        <v>0</v>
      </c>
      <c r="CO7" s="49">
        <f>BL17/BL15</f>
        <v>0</v>
      </c>
      <c r="CP7" s="49">
        <f>BM17/BM15</f>
        <v>0</v>
      </c>
      <c r="CQ7" s="49">
        <f>BN17/BN15</f>
        <v>0</v>
      </c>
      <c r="CR7" s="49">
        <f>BO17/BO15</f>
        <v>0</v>
      </c>
      <c r="CS7" s="49">
        <f>BP17/BP15</f>
        <v>0</v>
      </c>
      <c r="CT7" s="49">
        <f>BQ17/BQ15</f>
        <v>0.21599991227884238</v>
      </c>
      <c r="CU7" s="49">
        <f>BR17/BR15</f>
        <v>0.29526676776522098</v>
      </c>
      <c r="CV7" s="49">
        <f>BS17/BS15</f>
        <v>0.25118030347451242</v>
      </c>
      <c r="CW7" s="49">
        <f t="shared" ref="CW7" si="18">CD17/CD15</f>
        <v>0</v>
      </c>
      <c r="CX7" s="49" t="e">
        <f>#REF!/#REF!</f>
        <v>#REF!</v>
      </c>
      <c r="CY7" s="49" t="e">
        <f>#REF!/#REF!</f>
        <v>#REF!</v>
      </c>
      <c r="CZ7" s="49" t="e">
        <f>#REF!/#REF!</f>
        <v>#REF!</v>
      </c>
      <c r="DA7" s="49" t="e">
        <f>#REF!/#REF!</f>
        <v>#REF!</v>
      </c>
      <c r="DB7" s="49" t="e">
        <f>#REF!/#REF!</f>
        <v>#REF!</v>
      </c>
      <c r="DC7" s="49" t="e">
        <f>#REF!/#REF!</f>
        <v>#REF!</v>
      </c>
      <c r="DD7" s="49">
        <f>CA17/CA15</f>
        <v>0</v>
      </c>
      <c r="DE7" s="49">
        <f>CB17/CB15</f>
        <v>0</v>
      </c>
      <c r="DF7" s="49">
        <f>CC17/CC15</f>
        <v>0</v>
      </c>
      <c r="DG7" s="49">
        <f>CD17/CD15</f>
        <v>0</v>
      </c>
      <c r="DH7" s="49">
        <f>CE17/CE15</f>
        <v>0</v>
      </c>
      <c r="DI7" s="49">
        <f t="shared" ref="DI7:DK7" si="19">CF17/CF15</f>
        <v>0</v>
      </c>
      <c r="DJ7" s="49">
        <f t="shared" si="19"/>
        <v>0</v>
      </c>
      <c r="DK7" s="49">
        <f t="shared" si="19"/>
        <v>0</v>
      </c>
    </row>
    <row r="8" spans="1:115" ht="15" x14ac:dyDescent="0.25">
      <c r="A8" s="72" t="s">
        <v>52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 t="s">
        <v>100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 t="s">
        <v>101</v>
      </c>
      <c r="X8" s="74">
        <v>0</v>
      </c>
      <c r="Y8" s="74">
        <v>0</v>
      </c>
      <c r="Z8" s="74">
        <v>0</v>
      </c>
      <c r="AA8" s="74">
        <v>0</v>
      </c>
      <c r="AB8" s="74">
        <v>0</v>
      </c>
      <c r="AC8" s="74"/>
      <c r="AD8" s="27">
        <v>0.45833333333333331</v>
      </c>
      <c r="AE8" s="13">
        <f t="shared" ref="AE8:BE8" si="20">((B$8/B$18)*$E$3)/172.4*(1/AE$4*1000)/2</f>
        <v>0</v>
      </c>
      <c r="AF8" s="13">
        <f t="shared" si="20"/>
        <v>0</v>
      </c>
      <c r="AG8" s="13">
        <f t="shared" si="20"/>
        <v>0</v>
      </c>
      <c r="AH8" s="13">
        <f t="shared" si="20"/>
        <v>0</v>
      </c>
      <c r="AI8" s="13">
        <f t="shared" si="20"/>
        <v>0</v>
      </c>
      <c r="AJ8" s="13">
        <f t="shared" si="20"/>
        <v>0</v>
      </c>
      <c r="AK8" s="13">
        <f t="shared" si="20"/>
        <v>0</v>
      </c>
      <c r="AL8" s="13">
        <f t="shared" si="20"/>
        <v>0</v>
      </c>
      <c r="AM8" s="13">
        <f t="shared" si="20"/>
        <v>0</v>
      </c>
      <c r="AN8" s="13">
        <f t="shared" si="20"/>
        <v>0</v>
      </c>
      <c r="AO8" s="13">
        <f t="shared" si="20"/>
        <v>0</v>
      </c>
      <c r="AP8" s="13">
        <f t="shared" si="20"/>
        <v>0</v>
      </c>
      <c r="AQ8" s="13">
        <f t="shared" si="20"/>
        <v>0</v>
      </c>
      <c r="AR8" s="13">
        <f t="shared" si="20"/>
        <v>0</v>
      </c>
      <c r="AS8" s="13">
        <f t="shared" si="20"/>
        <v>0</v>
      </c>
      <c r="AT8" s="13">
        <f t="shared" si="20"/>
        <v>13.046027543271487</v>
      </c>
      <c r="AU8" s="13">
        <f t="shared" si="20"/>
        <v>0</v>
      </c>
      <c r="AV8" s="13">
        <f t="shared" si="20"/>
        <v>0</v>
      </c>
      <c r="AW8" s="13">
        <f t="shared" si="20"/>
        <v>0</v>
      </c>
      <c r="AX8" s="13">
        <f t="shared" si="20"/>
        <v>0</v>
      </c>
      <c r="AY8" s="13">
        <f t="shared" si="20"/>
        <v>0</v>
      </c>
      <c r="AZ8" s="13">
        <f t="shared" si="20"/>
        <v>13.994705779265109</v>
      </c>
      <c r="BA8" s="13">
        <f t="shared" si="20"/>
        <v>0</v>
      </c>
      <c r="BB8" s="13">
        <f t="shared" si="20"/>
        <v>0</v>
      </c>
      <c r="BC8" s="13">
        <f t="shared" si="20"/>
        <v>0</v>
      </c>
      <c r="BD8" s="13">
        <f t="shared" si="20"/>
        <v>0</v>
      </c>
      <c r="BE8" s="13">
        <f t="shared" si="20"/>
        <v>0</v>
      </c>
      <c r="BG8" s="27">
        <v>0.45833333333333331</v>
      </c>
      <c r="BH8" s="29">
        <f>AE8*100/AE$39</f>
        <v>0</v>
      </c>
      <c r="BI8" s="29">
        <f>AF8*100/AF$39</f>
        <v>0</v>
      </c>
      <c r="BJ8" s="29">
        <f>AG8*100/AG$39</f>
        <v>0</v>
      </c>
      <c r="BK8" s="29">
        <f t="shared" si="11"/>
        <v>0</v>
      </c>
      <c r="BL8" s="29">
        <f t="shared" si="11"/>
        <v>0</v>
      </c>
      <c r="BM8" s="29">
        <f t="shared" si="11"/>
        <v>0</v>
      </c>
      <c r="BN8" s="29">
        <f t="shared" si="11"/>
        <v>0</v>
      </c>
      <c r="BO8" s="29">
        <f t="shared" si="11"/>
        <v>0</v>
      </c>
      <c r="BP8" s="29">
        <f t="shared" si="11"/>
        <v>0</v>
      </c>
      <c r="BQ8" s="29">
        <f t="shared" si="11"/>
        <v>0</v>
      </c>
      <c r="BR8" s="29">
        <f t="shared" si="11"/>
        <v>0</v>
      </c>
      <c r="BS8" s="29">
        <f t="shared" si="11"/>
        <v>0</v>
      </c>
      <c r="BT8" s="29">
        <f t="shared" si="11"/>
        <v>0</v>
      </c>
      <c r="BU8" s="29">
        <f t="shared" si="11"/>
        <v>0</v>
      </c>
      <c r="BV8" s="29">
        <f t="shared" si="11"/>
        <v>0</v>
      </c>
      <c r="BW8" s="29">
        <f t="shared" si="11"/>
        <v>1.1418328782258529</v>
      </c>
      <c r="BX8" s="29">
        <f t="shared" si="11"/>
        <v>0</v>
      </c>
      <c r="BY8" s="29">
        <f t="shared" si="11"/>
        <v>0</v>
      </c>
      <c r="BZ8" s="29">
        <f t="shared" si="11"/>
        <v>0</v>
      </c>
      <c r="CA8" s="29">
        <f t="shared" si="11"/>
        <v>0</v>
      </c>
      <c r="CB8" s="29">
        <f t="shared" si="11"/>
        <v>0</v>
      </c>
      <c r="CC8" s="29">
        <f t="shared" si="11"/>
        <v>1.0363035639094216</v>
      </c>
      <c r="CD8" s="29">
        <f t="shared" si="11"/>
        <v>0</v>
      </c>
      <c r="CE8" s="29">
        <f t="shared" si="12"/>
        <v>0</v>
      </c>
      <c r="CF8" s="29">
        <f t="shared" si="13"/>
        <v>0</v>
      </c>
      <c r="CG8" s="29">
        <f t="shared" si="14"/>
        <v>0</v>
      </c>
      <c r="CH8" s="29">
        <f t="shared" si="14"/>
        <v>0</v>
      </c>
    </row>
    <row r="9" spans="1:115" ht="15" x14ac:dyDescent="0.25">
      <c r="A9" s="72" t="s">
        <v>53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4">
        <v>0</v>
      </c>
      <c r="M9" s="74">
        <v>0</v>
      </c>
      <c r="N9" s="74">
        <v>0</v>
      </c>
      <c r="O9" s="74">
        <v>0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0</v>
      </c>
      <c r="X9" s="74">
        <v>0</v>
      </c>
      <c r="Y9" s="74">
        <v>0</v>
      </c>
      <c r="Z9" s="74">
        <v>0</v>
      </c>
      <c r="AA9" s="74">
        <v>0</v>
      </c>
      <c r="AB9" s="74">
        <v>0</v>
      </c>
      <c r="AC9" s="74"/>
      <c r="AD9" s="27">
        <v>0.5</v>
      </c>
      <c r="AE9" s="13">
        <f t="shared" ref="AE9:BE9" si="21">((B$9/B$18)*$E$3)/200.4*(1/AE$4*1000)/2</f>
        <v>0</v>
      </c>
      <c r="AF9" s="13">
        <f t="shared" si="21"/>
        <v>0</v>
      </c>
      <c r="AG9" s="13">
        <f t="shared" si="21"/>
        <v>0</v>
      </c>
      <c r="AH9" s="13">
        <f t="shared" si="21"/>
        <v>0</v>
      </c>
      <c r="AI9" s="13">
        <f t="shared" si="21"/>
        <v>0</v>
      </c>
      <c r="AJ9" s="13">
        <f t="shared" si="21"/>
        <v>0</v>
      </c>
      <c r="AK9" s="13">
        <f t="shared" si="21"/>
        <v>0</v>
      </c>
      <c r="AL9" s="13">
        <f t="shared" si="21"/>
        <v>0</v>
      </c>
      <c r="AM9" s="13">
        <f t="shared" si="21"/>
        <v>0</v>
      </c>
      <c r="AN9" s="13">
        <f t="shared" si="21"/>
        <v>0</v>
      </c>
      <c r="AO9" s="13">
        <f t="shared" si="21"/>
        <v>0</v>
      </c>
      <c r="AP9" s="13">
        <f t="shared" si="21"/>
        <v>0</v>
      </c>
      <c r="AQ9" s="13">
        <f t="shared" si="21"/>
        <v>0</v>
      </c>
      <c r="AR9" s="13">
        <f t="shared" si="21"/>
        <v>0</v>
      </c>
      <c r="AS9" s="13">
        <f t="shared" si="21"/>
        <v>0</v>
      </c>
      <c r="AT9" s="13">
        <f t="shared" si="21"/>
        <v>0</v>
      </c>
      <c r="AU9" s="13">
        <f t="shared" si="21"/>
        <v>0</v>
      </c>
      <c r="AV9" s="13">
        <f t="shared" si="21"/>
        <v>0</v>
      </c>
      <c r="AW9" s="13">
        <f t="shared" si="21"/>
        <v>0</v>
      </c>
      <c r="AX9" s="13">
        <f t="shared" si="21"/>
        <v>0</v>
      </c>
      <c r="AY9" s="13">
        <f t="shared" si="21"/>
        <v>0</v>
      </c>
      <c r="AZ9" s="13">
        <f t="shared" si="21"/>
        <v>0</v>
      </c>
      <c r="BA9" s="13">
        <f t="shared" si="21"/>
        <v>0</v>
      </c>
      <c r="BB9" s="13">
        <f t="shared" si="21"/>
        <v>0</v>
      </c>
      <c r="BC9" s="13">
        <f t="shared" si="21"/>
        <v>0</v>
      </c>
      <c r="BD9" s="13">
        <f t="shared" si="21"/>
        <v>0</v>
      </c>
      <c r="BE9" s="13">
        <f t="shared" si="21"/>
        <v>0</v>
      </c>
      <c r="BG9" s="27">
        <v>0.5</v>
      </c>
      <c r="BH9" s="29">
        <f>AE9*100/AE$39</f>
        <v>0</v>
      </c>
      <c r="BI9" s="29">
        <f>AF9*100/AF$39</f>
        <v>0</v>
      </c>
      <c r="BJ9" s="29">
        <f>AG9*100/AG$39</f>
        <v>0</v>
      </c>
      <c r="BK9" s="29">
        <f t="shared" si="11"/>
        <v>0</v>
      </c>
      <c r="BL9" s="29">
        <f t="shared" si="11"/>
        <v>0</v>
      </c>
      <c r="BM9" s="29">
        <f t="shared" si="11"/>
        <v>0</v>
      </c>
      <c r="BN9" s="29">
        <f t="shared" si="11"/>
        <v>0</v>
      </c>
      <c r="BO9" s="29">
        <f t="shared" si="11"/>
        <v>0</v>
      </c>
      <c r="BP9" s="29">
        <f t="shared" si="11"/>
        <v>0</v>
      </c>
      <c r="BQ9" s="29">
        <f t="shared" si="11"/>
        <v>0</v>
      </c>
      <c r="BR9" s="29">
        <f t="shared" si="11"/>
        <v>0</v>
      </c>
      <c r="BS9" s="29">
        <f t="shared" si="11"/>
        <v>0</v>
      </c>
      <c r="BT9" s="29">
        <f t="shared" si="11"/>
        <v>0</v>
      </c>
      <c r="BU9" s="29">
        <f t="shared" si="11"/>
        <v>0</v>
      </c>
      <c r="BV9" s="29">
        <f t="shared" si="11"/>
        <v>0</v>
      </c>
      <c r="BW9" s="29">
        <f t="shared" si="11"/>
        <v>0</v>
      </c>
      <c r="BX9" s="29">
        <f t="shared" si="11"/>
        <v>0</v>
      </c>
      <c r="BY9" s="29">
        <f t="shared" si="11"/>
        <v>0</v>
      </c>
      <c r="BZ9" s="29">
        <f t="shared" si="11"/>
        <v>0</v>
      </c>
      <c r="CA9" s="29">
        <f t="shared" si="11"/>
        <v>0</v>
      </c>
      <c r="CB9" s="29">
        <f t="shared" si="11"/>
        <v>0</v>
      </c>
      <c r="CC9" s="29">
        <f t="shared" si="11"/>
        <v>0</v>
      </c>
      <c r="CD9" s="29">
        <f t="shared" si="11"/>
        <v>0</v>
      </c>
      <c r="CE9" s="29">
        <f t="shared" si="12"/>
        <v>0</v>
      </c>
      <c r="CF9" s="29">
        <f t="shared" si="13"/>
        <v>0</v>
      </c>
      <c r="CG9" s="29">
        <f t="shared" si="14"/>
        <v>0</v>
      </c>
      <c r="CH9" s="29">
        <f t="shared" si="14"/>
        <v>0</v>
      </c>
    </row>
    <row r="10" spans="1:115" ht="15" x14ac:dyDescent="0.25">
      <c r="A10" s="72" t="s">
        <v>79</v>
      </c>
      <c r="B10" s="74">
        <v>0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0</v>
      </c>
      <c r="Z10" s="74">
        <v>0</v>
      </c>
      <c r="AA10" s="74">
        <v>0</v>
      </c>
      <c r="AB10" s="74">
        <v>0</v>
      </c>
      <c r="AC10" s="74"/>
      <c r="AD10" s="30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8"/>
      <c r="BG10" s="27">
        <v>0.54166666666666663</v>
      </c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J10" s="44"/>
      <c r="CK10" s="44"/>
      <c r="CL10" s="44"/>
      <c r="CM10" s="45"/>
      <c r="CN10" s="35"/>
      <c r="CO10" s="35"/>
      <c r="DD10" s="44"/>
      <c r="DE10" s="45"/>
      <c r="DF10" s="35"/>
      <c r="DG10" s="35"/>
    </row>
    <row r="11" spans="1:115" ht="15" x14ac:dyDescent="0.25">
      <c r="A11" s="72" t="s">
        <v>54</v>
      </c>
      <c r="B11" s="74">
        <v>384.39080000000001</v>
      </c>
      <c r="C11" s="74">
        <v>0</v>
      </c>
      <c r="D11" s="74">
        <v>0</v>
      </c>
      <c r="E11" s="74">
        <v>0</v>
      </c>
      <c r="F11" s="74">
        <v>0</v>
      </c>
      <c r="G11" s="74">
        <v>0</v>
      </c>
      <c r="H11" s="74">
        <v>0</v>
      </c>
      <c r="I11" s="74">
        <v>0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>
        <v>0</v>
      </c>
      <c r="Y11" s="74">
        <v>0</v>
      </c>
      <c r="Z11" s="74">
        <v>0</v>
      </c>
      <c r="AA11" s="74">
        <v>0</v>
      </c>
      <c r="AB11" s="74">
        <v>0</v>
      </c>
      <c r="AC11" s="74"/>
      <c r="AD11" s="32" t="s">
        <v>14</v>
      </c>
      <c r="AE11" s="13">
        <f t="shared" ref="AE11:BE11" si="22">((B$11/B$18)*$E$3)/228.4*(1/AE$4*1000)/2</f>
        <v>13.468052561609008</v>
      </c>
      <c r="AF11" s="13">
        <f t="shared" si="22"/>
        <v>0</v>
      </c>
      <c r="AG11" s="13">
        <f t="shared" si="22"/>
        <v>0</v>
      </c>
      <c r="AH11" s="13">
        <f t="shared" si="22"/>
        <v>0</v>
      </c>
      <c r="AI11" s="13">
        <f t="shared" si="22"/>
        <v>0</v>
      </c>
      <c r="AJ11" s="13">
        <f t="shared" si="22"/>
        <v>0</v>
      </c>
      <c r="AK11" s="13">
        <f t="shared" si="22"/>
        <v>0</v>
      </c>
      <c r="AL11" s="13">
        <f t="shared" si="22"/>
        <v>0</v>
      </c>
      <c r="AM11" s="13">
        <f t="shared" si="22"/>
        <v>0</v>
      </c>
      <c r="AN11" s="13">
        <f t="shared" si="22"/>
        <v>0</v>
      </c>
      <c r="AO11" s="13">
        <f t="shared" si="22"/>
        <v>0</v>
      </c>
      <c r="AP11" s="13">
        <f t="shared" si="22"/>
        <v>0</v>
      </c>
      <c r="AQ11" s="13">
        <f t="shared" si="22"/>
        <v>0</v>
      </c>
      <c r="AR11" s="13">
        <f t="shared" si="22"/>
        <v>0</v>
      </c>
      <c r="AS11" s="13">
        <f t="shared" si="22"/>
        <v>0</v>
      </c>
      <c r="AT11" s="13">
        <f t="shared" si="22"/>
        <v>0</v>
      </c>
      <c r="AU11" s="13">
        <f t="shared" si="22"/>
        <v>0</v>
      </c>
      <c r="AV11" s="13">
        <f t="shared" si="22"/>
        <v>0</v>
      </c>
      <c r="AW11" s="13">
        <f t="shared" si="22"/>
        <v>0</v>
      </c>
      <c r="AX11" s="13">
        <f t="shared" si="22"/>
        <v>0</v>
      </c>
      <c r="AY11" s="13">
        <f t="shared" si="22"/>
        <v>0</v>
      </c>
      <c r="AZ11" s="13">
        <f t="shared" si="22"/>
        <v>0</v>
      </c>
      <c r="BA11" s="13">
        <f t="shared" si="22"/>
        <v>0</v>
      </c>
      <c r="BB11" s="13">
        <f t="shared" si="22"/>
        <v>0</v>
      </c>
      <c r="BC11" s="13">
        <f t="shared" si="22"/>
        <v>0</v>
      </c>
      <c r="BD11" s="13">
        <f t="shared" si="22"/>
        <v>0</v>
      </c>
      <c r="BE11" s="13">
        <f t="shared" si="22"/>
        <v>0</v>
      </c>
      <c r="BG11" s="27">
        <v>0.58333333333333337</v>
      </c>
      <c r="BH11" s="29">
        <f>AE11*100/AE$39</f>
        <v>1.172285462283905</v>
      </c>
      <c r="BI11" s="29">
        <f>AF11*100/AF$39</f>
        <v>0</v>
      </c>
      <c r="BJ11" s="29">
        <f>AG11*100/AG$39</f>
        <v>0</v>
      </c>
      <c r="BK11" s="29">
        <f t="shared" ref="BK11:CD12" si="23">AH11*100/AH$39</f>
        <v>0</v>
      </c>
      <c r="BL11" s="29">
        <f t="shared" si="23"/>
        <v>0</v>
      </c>
      <c r="BM11" s="29">
        <f t="shared" si="23"/>
        <v>0</v>
      </c>
      <c r="BN11" s="29">
        <f t="shared" si="23"/>
        <v>0</v>
      </c>
      <c r="BO11" s="29">
        <f t="shared" si="23"/>
        <v>0</v>
      </c>
      <c r="BP11" s="29">
        <f t="shared" si="23"/>
        <v>0</v>
      </c>
      <c r="BQ11" s="29">
        <f t="shared" si="23"/>
        <v>0</v>
      </c>
      <c r="BR11" s="29">
        <f t="shared" si="23"/>
        <v>0</v>
      </c>
      <c r="BS11" s="29">
        <f t="shared" si="23"/>
        <v>0</v>
      </c>
      <c r="BT11" s="29">
        <f t="shared" si="23"/>
        <v>0</v>
      </c>
      <c r="BU11" s="29">
        <f t="shared" si="23"/>
        <v>0</v>
      </c>
      <c r="BV11" s="29">
        <f t="shared" si="23"/>
        <v>0</v>
      </c>
      <c r="BW11" s="29">
        <f t="shared" si="23"/>
        <v>0</v>
      </c>
      <c r="BX11" s="29">
        <f t="shared" si="23"/>
        <v>0</v>
      </c>
      <c r="BY11" s="29">
        <f t="shared" si="23"/>
        <v>0</v>
      </c>
      <c r="BZ11" s="29">
        <f t="shared" si="23"/>
        <v>0</v>
      </c>
      <c r="CA11" s="29">
        <f t="shared" si="23"/>
        <v>0</v>
      </c>
      <c r="CB11" s="29">
        <f t="shared" si="23"/>
        <v>0</v>
      </c>
      <c r="CC11" s="29">
        <f t="shared" si="23"/>
        <v>0</v>
      </c>
      <c r="CD11" s="29">
        <f t="shared" si="23"/>
        <v>0</v>
      </c>
      <c r="CE11" s="29">
        <f t="shared" ref="CE11:CE12" si="24">BB11*100/BB$39</f>
        <v>0</v>
      </c>
      <c r="CF11" s="29">
        <f t="shared" ref="CF11:CF12" si="25">BC11*100/BC$39</f>
        <v>0</v>
      </c>
      <c r="CG11" s="29">
        <f t="shared" ref="CG11:CH12" si="26">BD11*100/BD$39</f>
        <v>0</v>
      </c>
      <c r="CH11" s="29">
        <f t="shared" si="26"/>
        <v>0</v>
      </c>
      <c r="CJ11" s="34"/>
      <c r="CK11" s="34"/>
      <c r="CL11" s="34"/>
      <c r="CM11" s="35"/>
      <c r="CN11" s="35"/>
      <c r="CO11" s="35"/>
      <c r="DD11" s="34"/>
      <c r="DE11" s="35"/>
      <c r="DF11" s="35"/>
      <c r="DG11" s="35"/>
    </row>
    <row r="12" spans="1:115" ht="15" x14ac:dyDescent="0.25">
      <c r="A12" s="72" t="s">
        <v>55</v>
      </c>
      <c r="B12" s="74">
        <v>0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0</v>
      </c>
      <c r="Z12" s="74">
        <v>0</v>
      </c>
      <c r="AA12" s="74">
        <v>0</v>
      </c>
      <c r="AB12" s="74">
        <v>0</v>
      </c>
      <c r="AC12" s="74"/>
      <c r="AD12" s="27">
        <v>0.58402777777777781</v>
      </c>
      <c r="AE12" s="13">
        <f t="shared" ref="AE12:BE12" si="27">((B$12/B$18)*$E$3)/226.4*(1/AE$4*1000)/2</f>
        <v>0</v>
      </c>
      <c r="AF12" s="13">
        <f t="shared" si="27"/>
        <v>0</v>
      </c>
      <c r="AG12" s="13">
        <f t="shared" si="27"/>
        <v>0</v>
      </c>
      <c r="AH12" s="13">
        <f t="shared" si="27"/>
        <v>0</v>
      </c>
      <c r="AI12" s="13">
        <f t="shared" si="27"/>
        <v>0</v>
      </c>
      <c r="AJ12" s="13">
        <f t="shared" si="27"/>
        <v>0</v>
      </c>
      <c r="AK12" s="13">
        <f t="shared" si="27"/>
        <v>0</v>
      </c>
      <c r="AL12" s="13">
        <f t="shared" si="27"/>
        <v>0</v>
      </c>
      <c r="AM12" s="13">
        <f t="shared" si="27"/>
        <v>0</v>
      </c>
      <c r="AN12" s="13">
        <f t="shared" si="27"/>
        <v>0</v>
      </c>
      <c r="AO12" s="13">
        <f t="shared" si="27"/>
        <v>0</v>
      </c>
      <c r="AP12" s="13">
        <f t="shared" si="27"/>
        <v>0</v>
      </c>
      <c r="AQ12" s="13">
        <f t="shared" si="27"/>
        <v>0</v>
      </c>
      <c r="AR12" s="13">
        <f t="shared" si="27"/>
        <v>0</v>
      </c>
      <c r="AS12" s="13">
        <f t="shared" si="27"/>
        <v>0</v>
      </c>
      <c r="AT12" s="13">
        <f t="shared" si="27"/>
        <v>0</v>
      </c>
      <c r="AU12" s="13">
        <f t="shared" si="27"/>
        <v>0</v>
      </c>
      <c r="AV12" s="13">
        <f t="shared" si="27"/>
        <v>0</v>
      </c>
      <c r="AW12" s="13">
        <f t="shared" si="27"/>
        <v>0</v>
      </c>
      <c r="AX12" s="13">
        <f t="shared" si="27"/>
        <v>0</v>
      </c>
      <c r="AY12" s="13">
        <f t="shared" si="27"/>
        <v>0</v>
      </c>
      <c r="AZ12" s="13">
        <f t="shared" si="27"/>
        <v>0</v>
      </c>
      <c r="BA12" s="13">
        <f t="shared" si="27"/>
        <v>0</v>
      </c>
      <c r="BB12" s="13">
        <f t="shared" si="27"/>
        <v>0</v>
      </c>
      <c r="BC12" s="13">
        <f t="shared" si="27"/>
        <v>0</v>
      </c>
      <c r="BD12" s="13">
        <f t="shared" si="27"/>
        <v>0</v>
      </c>
      <c r="BE12" s="13">
        <f t="shared" si="27"/>
        <v>0</v>
      </c>
      <c r="BG12" s="27">
        <v>0.58402777777777781</v>
      </c>
      <c r="BH12" s="29">
        <f>AE12*100/AE$39</f>
        <v>0</v>
      </c>
      <c r="BI12" s="29">
        <f>AF12*100/AF$39</f>
        <v>0</v>
      </c>
      <c r="BJ12" s="29">
        <f>AG12*100/AG$39</f>
        <v>0</v>
      </c>
      <c r="BK12" s="29">
        <f t="shared" si="23"/>
        <v>0</v>
      </c>
      <c r="BL12" s="29">
        <f t="shared" si="23"/>
        <v>0</v>
      </c>
      <c r="BM12" s="29">
        <f t="shared" si="23"/>
        <v>0</v>
      </c>
      <c r="BN12" s="29">
        <f t="shared" si="23"/>
        <v>0</v>
      </c>
      <c r="BO12" s="29">
        <f t="shared" si="23"/>
        <v>0</v>
      </c>
      <c r="BP12" s="29">
        <f t="shared" si="23"/>
        <v>0</v>
      </c>
      <c r="BQ12" s="29">
        <f t="shared" si="23"/>
        <v>0</v>
      </c>
      <c r="BR12" s="29">
        <f t="shared" si="23"/>
        <v>0</v>
      </c>
      <c r="BS12" s="29">
        <f t="shared" si="23"/>
        <v>0</v>
      </c>
      <c r="BT12" s="29">
        <f t="shared" si="23"/>
        <v>0</v>
      </c>
      <c r="BU12" s="29">
        <f t="shared" si="23"/>
        <v>0</v>
      </c>
      <c r="BV12" s="29">
        <f t="shared" si="23"/>
        <v>0</v>
      </c>
      <c r="BW12" s="29">
        <f t="shared" si="23"/>
        <v>0</v>
      </c>
      <c r="BX12" s="29">
        <f t="shared" si="23"/>
        <v>0</v>
      </c>
      <c r="BY12" s="29">
        <f t="shared" si="23"/>
        <v>0</v>
      </c>
      <c r="BZ12" s="29">
        <f t="shared" si="23"/>
        <v>0</v>
      </c>
      <c r="CA12" s="29">
        <f t="shared" si="23"/>
        <v>0</v>
      </c>
      <c r="CB12" s="29">
        <f t="shared" si="23"/>
        <v>0</v>
      </c>
      <c r="CC12" s="29">
        <f t="shared" si="23"/>
        <v>0</v>
      </c>
      <c r="CD12" s="29">
        <f t="shared" si="23"/>
        <v>0</v>
      </c>
      <c r="CE12" s="29">
        <f t="shared" si="24"/>
        <v>0</v>
      </c>
      <c r="CF12" s="29">
        <f t="shared" si="25"/>
        <v>0</v>
      </c>
      <c r="CG12" s="29">
        <f t="shared" si="26"/>
        <v>0</v>
      </c>
      <c r="CH12" s="29">
        <f t="shared" si="26"/>
        <v>0</v>
      </c>
      <c r="CJ12" s="34"/>
      <c r="CK12" s="34"/>
      <c r="CL12" s="34"/>
      <c r="CM12" s="35"/>
      <c r="CN12" s="35"/>
      <c r="CO12" s="35"/>
      <c r="DD12" s="34"/>
      <c r="DE12" s="35"/>
      <c r="DF12" s="35"/>
      <c r="DG12" s="35"/>
    </row>
    <row r="13" spans="1:115" ht="15" x14ac:dyDescent="0.25">
      <c r="A13" s="72" t="s">
        <v>56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  <c r="AA13" s="74">
        <v>0</v>
      </c>
      <c r="AB13" s="74">
        <v>0</v>
      </c>
      <c r="AC13" s="74"/>
      <c r="AD13" s="62"/>
      <c r="BG13" s="27">
        <v>0.625</v>
      </c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44"/>
      <c r="CJ13" s="34"/>
      <c r="CK13" s="34"/>
      <c r="CL13" s="34"/>
      <c r="CM13" s="35"/>
      <c r="CN13" s="35"/>
      <c r="CO13" s="35"/>
      <c r="DD13" s="34"/>
      <c r="DE13" s="35"/>
      <c r="DF13" s="35"/>
      <c r="DG13" s="35"/>
    </row>
    <row r="14" spans="1:115" ht="15" x14ac:dyDescent="0.25">
      <c r="A14" s="72" t="s">
        <v>57</v>
      </c>
      <c r="B14" s="74">
        <v>0</v>
      </c>
      <c r="C14" s="74">
        <v>0</v>
      </c>
      <c r="D14" s="74">
        <v>0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0</v>
      </c>
      <c r="Z14" s="74">
        <v>0</v>
      </c>
      <c r="AA14" s="74">
        <v>0</v>
      </c>
      <c r="AB14" s="74">
        <v>0</v>
      </c>
      <c r="AC14" s="74"/>
      <c r="AD14" s="27">
        <v>0.62569444444444444</v>
      </c>
      <c r="AE14" s="13">
        <f t="shared" ref="AE14:BE14" si="28">((B$14/B$18)*$E$3)/240.4*(1/AE$4*1000)/2</f>
        <v>0</v>
      </c>
      <c r="AF14" s="13">
        <f t="shared" si="28"/>
        <v>0</v>
      </c>
      <c r="AG14" s="13">
        <f t="shared" si="28"/>
        <v>0</v>
      </c>
      <c r="AH14" s="13">
        <f t="shared" si="28"/>
        <v>0</v>
      </c>
      <c r="AI14" s="13">
        <f t="shared" si="28"/>
        <v>0</v>
      </c>
      <c r="AJ14" s="13">
        <f t="shared" si="28"/>
        <v>0</v>
      </c>
      <c r="AK14" s="13">
        <f t="shared" si="28"/>
        <v>0</v>
      </c>
      <c r="AL14" s="13">
        <f t="shared" si="28"/>
        <v>0</v>
      </c>
      <c r="AM14" s="13">
        <f t="shared" si="28"/>
        <v>0</v>
      </c>
      <c r="AN14" s="13">
        <f t="shared" si="28"/>
        <v>0</v>
      </c>
      <c r="AO14" s="13">
        <f t="shared" si="28"/>
        <v>0</v>
      </c>
      <c r="AP14" s="13">
        <f t="shared" si="28"/>
        <v>0</v>
      </c>
      <c r="AQ14" s="13">
        <f t="shared" si="28"/>
        <v>0</v>
      </c>
      <c r="AR14" s="13">
        <f t="shared" si="28"/>
        <v>0</v>
      </c>
      <c r="AS14" s="13">
        <f t="shared" si="28"/>
        <v>0</v>
      </c>
      <c r="AT14" s="13">
        <f t="shared" si="28"/>
        <v>0</v>
      </c>
      <c r="AU14" s="13">
        <f t="shared" si="28"/>
        <v>0</v>
      </c>
      <c r="AV14" s="13">
        <f t="shared" si="28"/>
        <v>0</v>
      </c>
      <c r="AW14" s="13">
        <f t="shared" si="28"/>
        <v>0</v>
      </c>
      <c r="AX14" s="13">
        <f t="shared" si="28"/>
        <v>0</v>
      </c>
      <c r="AY14" s="13">
        <f t="shared" si="28"/>
        <v>0</v>
      </c>
      <c r="AZ14" s="13">
        <f t="shared" si="28"/>
        <v>0</v>
      </c>
      <c r="BA14" s="13">
        <f t="shared" si="28"/>
        <v>0</v>
      </c>
      <c r="BB14" s="13">
        <f t="shared" si="28"/>
        <v>0</v>
      </c>
      <c r="BC14" s="13">
        <f t="shared" si="28"/>
        <v>0</v>
      </c>
      <c r="BD14" s="13">
        <f t="shared" si="28"/>
        <v>0</v>
      </c>
      <c r="BE14" s="13">
        <f t="shared" si="28"/>
        <v>0</v>
      </c>
      <c r="BG14" s="27">
        <v>0.62569444444444444</v>
      </c>
      <c r="BH14" s="29">
        <f>AE14*100/AE$39</f>
        <v>0</v>
      </c>
      <c r="BI14" s="29">
        <f>AF14*100/AF$39</f>
        <v>0</v>
      </c>
      <c r="BJ14" s="29">
        <f>AG14*100/AG$39</f>
        <v>0</v>
      </c>
      <c r="BK14" s="29">
        <f t="shared" ref="BK14:CD15" si="29">AH14*100/AH$39</f>
        <v>0</v>
      </c>
      <c r="BL14" s="29">
        <f t="shared" si="29"/>
        <v>0</v>
      </c>
      <c r="BM14" s="29">
        <f t="shared" si="29"/>
        <v>0</v>
      </c>
      <c r="BN14" s="29">
        <f t="shared" si="29"/>
        <v>0</v>
      </c>
      <c r="BO14" s="29">
        <f t="shared" si="29"/>
        <v>0</v>
      </c>
      <c r="BP14" s="29">
        <f t="shared" si="29"/>
        <v>0</v>
      </c>
      <c r="BQ14" s="29">
        <f t="shared" si="29"/>
        <v>0</v>
      </c>
      <c r="BR14" s="29">
        <f t="shared" si="29"/>
        <v>0</v>
      </c>
      <c r="BS14" s="29">
        <f t="shared" si="29"/>
        <v>0</v>
      </c>
      <c r="BT14" s="29">
        <f t="shared" si="29"/>
        <v>0</v>
      </c>
      <c r="BU14" s="29">
        <f t="shared" si="29"/>
        <v>0</v>
      </c>
      <c r="BV14" s="29">
        <f t="shared" si="29"/>
        <v>0</v>
      </c>
      <c r="BW14" s="29">
        <f t="shared" si="29"/>
        <v>0</v>
      </c>
      <c r="BX14" s="29">
        <f t="shared" si="29"/>
        <v>0</v>
      </c>
      <c r="BY14" s="29">
        <f t="shared" si="29"/>
        <v>0</v>
      </c>
      <c r="BZ14" s="29">
        <f t="shared" si="29"/>
        <v>0</v>
      </c>
      <c r="CA14" s="29">
        <f t="shared" si="29"/>
        <v>0</v>
      </c>
      <c r="CB14" s="29">
        <f t="shared" si="29"/>
        <v>0</v>
      </c>
      <c r="CC14" s="29">
        <f t="shared" si="29"/>
        <v>0</v>
      </c>
      <c r="CD14" s="29">
        <f t="shared" si="29"/>
        <v>0</v>
      </c>
      <c r="CE14" s="29">
        <f t="shared" ref="CE14:CE15" si="30">BB14*100/BB$39</f>
        <v>0</v>
      </c>
      <c r="CF14" s="29">
        <f t="shared" ref="CF14:CF15" si="31">BC14*100/BC$39</f>
        <v>0</v>
      </c>
      <c r="CG14" s="29">
        <f t="shared" ref="CG14:CH15" si="32">BD14*100/BD$39</f>
        <v>0</v>
      </c>
      <c r="CH14" s="29">
        <f t="shared" si="32"/>
        <v>0</v>
      </c>
      <c r="CI14" s="35"/>
      <c r="CJ14" s="34"/>
      <c r="CK14" s="34"/>
      <c r="CL14" s="34"/>
      <c r="CM14" s="35"/>
      <c r="CN14" s="35"/>
      <c r="CO14" s="35"/>
      <c r="CP14" s="35"/>
      <c r="CQ14" s="35"/>
      <c r="DD14" s="34"/>
      <c r="DE14" s="35"/>
      <c r="DF14" s="35"/>
      <c r="DG14" s="35"/>
      <c r="DH14" s="35"/>
      <c r="DI14" s="35"/>
    </row>
    <row r="15" spans="1:115" ht="15" x14ac:dyDescent="0.25">
      <c r="A15" s="72" t="s">
        <v>58</v>
      </c>
      <c r="B15" s="74">
        <v>10774.940399999999</v>
      </c>
      <c r="C15" s="74">
        <v>8248.0077999999994</v>
      </c>
      <c r="D15" s="74">
        <v>8578.8847999999998</v>
      </c>
      <c r="E15" s="74">
        <v>2260.2397000000001</v>
      </c>
      <c r="F15" s="74">
        <v>2205.6399000000001</v>
      </c>
      <c r="G15" s="74">
        <v>2589.71</v>
      </c>
      <c r="H15" s="74">
        <v>2545.2404999999999</v>
      </c>
      <c r="I15" s="74">
        <v>2874.2593000000002</v>
      </c>
      <c r="J15" s="74">
        <v>3152.8933000000002</v>
      </c>
      <c r="K15" s="74" t="s">
        <v>102</v>
      </c>
      <c r="L15" s="74" t="s">
        <v>103</v>
      </c>
      <c r="M15" s="74" t="s">
        <v>104</v>
      </c>
      <c r="N15" s="74" t="s">
        <v>105</v>
      </c>
      <c r="O15" s="74" t="s">
        <v>106</v>
      </c>
      <c r="P15" s="74" t="s">
        <v>107</v>
      </c>
      <c r="Q15" s="74" t="s">
        <v>108</v>
      </c>
      <c r="R15" s="74" t="s">
        <v>109</v>
      </c>
      <c r="S15" s="74" t="s">
        <v>110</v>
      </c>
      <c r="T15" s="74" t="s">
        <v>111</v>
      </c>
      <c r="U15" s="74" t="s">
        <v>112</v>
      </c>
      <c r="V15" s="74" t="s">
        <v>113</v>
      </c>
      <c r="W15" s="74" t="s">
        <v>114</v>
      </c>
      <c r="X15" s="74" t="s">
        <v>115</v>
      </c>
      <c r="Y15" s="74" t="s">
        <v>116</v>
      </c>
      <c r="Z15" s="74" t="s">
        <v>117</v>
      </c>
      <c r="AA15" s="74" t="s">
        <v>118</v>
      </c>
      <c r="AB15" s="74" t="s">
        <v>119</v>
      </c>
      <c r="AC15" s="74"/>
      <c r="AD15" s="32" t="s">
        <v>15</v>
      </c>
      <c r="AE15" s="13">
        <f t="shared" ref="AE15:BE15" si="33">((B$15/B$18)*$E$3)/256.4*(1/AE$4*1000)/2</f>
        <v>336.29837843620885</v>
      </c>
      <c r="AF15" s="13">
        <f t="shared" si="33"/>
        <v>296.57881628375316</v>
      </c>
      <c r="AG15" s="13">
        <f t="shared" si="33"/>
        <v>298.05168555482334</v>
      </c>
      <c r="AH15" s="13">
        <f t="shared" si="33"/>
        <v>341.7591670481313</v>
      </c>
      <c r="AI15" s="13">
        <f t="shared" si="33"/>
        <v>353.82179507725652</v>
      </c>
      <c r="AJ15" s="13">
        <f t="shared" si="33"/>
        <v>362.86509125436424</v>
      </c>
      <c r="AK15" s="13">
        <f t="shared" si="33"/>
        <v>350.47947759360278</v>
      </c>
      <c r="AL15" s="13">
        <f t="shared" si="33"/>
        <v>406.00847430806948</v>
      </c>
      <c r="AM15" s="13">
        <f t="shared" si="33"/>
        <v>403.63769226762889</v>
      </c>
      <c r="AN15" s="13">
        <f t="shared" si="33"/>
        <v>273.80367125395696</v>
      </c>
      <c r="AO15" s="13">
        <f t="shared" si="33"/>
        <v>276.23751460863559</v>
      </c>
      <c r="AP15" s="13">
        <f t="shared" si="33"/>
        <v>330.18229610676218</v>
      </c>
      <c r="AQ15" s="13">
        <f t="shared" si="33"/>
        <v>297.84556796358805</v>
      </c>
      <c r="AR15" s="13">
        <f t="shared" si="33"/>
        <v>279.52302244995303</v>
      </c>
      <c r="AS15" s="13">
        <f t="shared" si="33"/>
        <v>255.38161030279502</v>
      </c>
      <c r="AT15" s="13">
        <f t="shared" si="33"/>
        <v>287.53247296853988</v>
      </c>
      <c r="AU15" s="13">
        <f t="shared" si="33"/>
        <v>367.39387001652716</v>
      </c>
      <c r="AV15" s="13">
        <f t="shared" si="33"/>
        <v>353.43221998152165</v>
      </c>
      <c r="AW15" s="13">
        <f t="shared" si="33"/>
        <v>317.50983649468139</v>
      </c>
      <c r="AX15" s="13">
        <f t="shared" si="33"/>
        <v>420.78777210393559</v>
      </c>
      <c r="AY15" s="13">
        <f t="shared" si="33"/>
        <v>339.41189637663217</v>
      </c>
      <c r="AZ15" s="13">
        <f t="shared" si="33"/>
        <v>358.85142618475066</v>
      </c>
      <c r="BA15" s="13">
        <f t="shared" si="33"/>
        <v>410.67006965713341</v>
      </c>
      <c r="BB15" s="13">
        <f t="shared" si="33"/>
        <v>425.72257461033939</v>
      </c>
      <c r="BC15" s="13">
        <f t="shared" si="33"/>
        <v>322.74609670148089</v>
      </c>
      <c r="BD15" s="13">
        <f t="shared" si="33"/>
        <v>372.24076453970014</v>
      </c>
      <c r="BE15" s="13">
        <f t="shared" si="33"/>
        <v>415.64394056269481</v>
      </c>
      <c r="BG15" s="27">
        <v>0.66666666666666663</v>
      </c>
      <c r="BH15" s="29">
        <f>AE15*100/AE$39</f>
        <v>29.272064259253209</v>
      </c>
      <c r="BI15" s="29">
        <f>AF15*100/AF$39</f>
        <v>28.575080703100738</v>
      </c>
      <c r="BJ15" s="29">
        <f>AG15*100/AG$39</f>
        <v>29.097069889659295</v>
      </c>
      <c r="BK15" s="29">
        <f t="shared" si="29"/>
        <v>31.025909997063522</v>
      </c>
      <c r="BL15" s="29">
        <f t="shared" si="29"/>
        <v>31.188030996966614</v>
      </c>
      <c r="BM15" s="29">
        <f t="shared" si="29"/>
        <v>30.893427372897008</v>
      </c>
      <c r="BN15" s="29">
        <f t="shared" si="29"/>
        <v>32.88113139549489</v>
      </c>
      <c r="BO15" s="29">
        <f t="shared" si="29"/>
        <v>33.800365111129516</v>
      </c>
      <c r="BP15" s="29">
        <f t="shared" si="29"/>
        <v>33.97764957597775</v>
      </c>
      <c r="BQ15" s="29">
        <f t="shared" si="29"/>
        <v>22.076669195859331</v>
      </c>
      <c r="BR15" s="29">
        <f t="shared" si="29"/>
        <v>20.692454140378437</v>
      </c>
      <c r="BS15" s="29">
        <f t="shared" si="29"/>
        <v>23.277871673343014</v>
      </c>
      <c r="BT15" s="29">
        <f t="shared" si="29"/>
        <v>23.253833739551936</v>
      </c>
      <c r="BU15" s="29">
        <f t="shared" si="29"/>
        <v>22.499662852992856</v>
      </c>
      <c r="BV15" s="29">
        <f t="shared" si="29"/>
        <v>23.024409824586716</v>
      </c>
      <c r="BW15" s="29">
        <f t="shared" si="29"/>
        <v>25.165823857423458</v>
      </c>
      <c r="BX15" s="29">
        <f t="shared" si="29"/>
        <v>25.401860288239924</v>
      </c>
      <c r="BY15" s="29">
        <f t="shared" si="29"/>
        <v>26.319660187876483</v>
      </c>
      <c r="BZ15" s="29">
        <f t="shared" si="29"/>
        <v>23.705197141185046</v>
      </c>
      <c r="CA15" s="29">
        <f t="shared" si="29"/>
        <v>24.578310429823336</v>
      </c>
      <c r="CB15" s="29">
        <f t="shared" si="29"/>
        <v>23.445248253952521</v>
      </c>
      <c r="CC15" s="29">
        <f t="shared" si="29"/>
        <v>26.572835308922368</v>
      </c>
      <c r="CD15" s="29">
        <f t="shared" si="29"/>
        <v>26.9320026005337</v>
      </c>
      <c r="CE15" s="29">
        <f t="shared" si="30"/>
        <v>27.382264299774572</v>
      </c>
      <c r="CF15" s="29">
        <f t="shared" si="31"/>
        <v>22.840252706039909</v>
      </c>
      <c r="CG15" s="29">
        <f t="shared" si="32"/>
        <v>22.865293137131403</v>
      </c>
      <c r="CH15" s="29">
        <f t="shared" si="32"/>
        <v>23.270798875669136</v>
      </c>
      <c r="CI15" s="34"/>
      <c r="CJ15" s="34"/>
      <c r="CK15" s="34"/>
      <c r="CL15" s="34"/>
      <c r="CM15" s="35"/>
      <c r="CN15" s="35"/>
      <c r="CO15" s="35"/>
      <c r="DD15" s="34"/>
      <c r="DE15" s="35"/>
      <c r="DF15" s="35"/>
      <c r="DG15" s="35"/>
    </row>
    <row r="16" spans="1:115" ht="15" x14ac:dyDescent="0.25">
      <c r="A16" s="72" t="s">
        <v>80</v>
      </c>
      <c r="B16" s="74">
        <v>0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  <c r="Z16" s="74">
        <v>0</v>
      </c>
      <c r="AA16" s="74">
        <v>0</v>
      </c>
      <c r="AB16" s="74">
        <v>0</v>
      </c>
      <c r="AC16" s="74"/>
      <c r="AD16" s="32"/>
      <c r="BG16" s="73" t="s">
        <v>80</v>
      </c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34"/>
      <c r="CJ16" s="34"/>
      <c r="CK16" s="34"/>
      <c r="CL16" s="34"/>
      <c r="CM16" s="35"/>
      <c r="CN16" s="35"/>
      <c r="CO16" s="35"/>
      <c r="DD16" s="34"/>
      <c r="DE16" s="35"/>
      <c r="DF16" s="35"/>
      <c r="DG16" s="35"/>
    </row>
    <row r="17" spans="1:113" ht="15" x14ac:dyDescent="0.25">
      <c r="A17" s="72" t="s">
        <v>59</v>
      </c>
      <c r="B17" s="74">
        <v>2631.9108999999999</v>
      </c>
      <c r="C17" s="74">
        <v>1928.3114</v>
      </c>
      <c r="D17" s="74">
        <v>2024.1239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 t="s">
        <v>120</v>
      </c>
      <c r="L17" s="74" t="s">
        <v>121</v>
      </c>
      <c r="M17" s="74" t="s">
        <v>122</v>
      </c>
      <c r="N17" s="74" t="s">
        <v>123</v>
      </c>
      <c r="O17" s="74" t="s">
        <v>124</v>
      </c>
      <c r="P17" s="74" t="s">
        <v>125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/>
      <c r="AD17" s="32" t="s">
        <v>16</v>
      </c>
      <c r="AE17" s="13">
        <f t="shared" ref="AE17:BE17" si="34">((B$17/B$18)*$E$3)/254.4*(1/AE$4*1000)/2</f>
        <v>82.790783614481313</v>
      </c>
      <c r="AF17" s="13">
        <f t="shared" si="34"/>
        <v>69.882614881934671</v>
      </c>
      <c r="AG17" s="13">
        <f t="shared" si="34"/>
        <v>70.875927126361731</v>
      </c>
      <c r="AH17" s="13">
        <f t="shared" si="34"/>
        <v>0</v>
      </c>
      <c r="AI17" s="13">
        <f t="shared" si="34"/>
        <v>0</v>
      </c>
      <c r="AJ17" s="13">
        <f t="shared" si="34"/>
        <v>0</v>
      </c>
      <c r="AK17" s="13">
        <f t="shared" si="34"/>
        <v>0</v>
      </c>
      <c r="AL17" s="13">
        <f t="shared" si="34"/>
        <v>0</v>
      </c>
      <c r="AM17" s="13">
        <f t="shared" si="34"/>
        <v>0</v>
      </c>
      <c r="AN17" s="13">
        <f t="shared" si="34"/>
        <v>59.141568972479696</v>
      </c>
      <c r="AO17" s="13">
        <f t="shared" si="34"/>
        <v>81.563758073989845</v>
      </c>
      <c r="AP17" s="13">
        <f t="shared" si="34"/>
        <v>82.935289338007834</v>
      </c>
      <c r="AQ17" s="13">
        <f t="shared" si="34"/>
        <v>78.105594316825702</v>
      </c>
      <c r="AR17" s="13">
        <f t="shared" si="34"/>
        <v>77.45900757793386</v>
      </c>
      <c r="AS17" s="13">
        <f t="shared" si="34"/>
        <v>71.090434193143565</v>
      </c>
      <c r="AT17" s="13">
        <f t="shared" si="34"/>
        <v>0</v>
      </c>
      <c r="AU17" s="13">
        <f t="shared" si="34"/>
        <v>0</v>
      </c>
      <c r="AV17" s="13">
        <f t="shared" si="34"/>
        <v>0</v>
      </c>
      <c r="AW17" s="13">
        <f t="shared" si="34"/>
        <v>0</v>
      </c>
      <c r="AX17" s="13">
        <f t="shared" si="34"/>
        <v>0</v>
      </c>
      <c r="AY17" s="13">
        <f t="shared" si="34"/>
        <v>0</v>
      </c>
      <c r="AZ17" s="13">
        <f t="shared" si="34"/>
        <v>0</v>
      </c>
      <c r="BA17" s="13">
        <f t="shared" si="34"/>
        <v>0</v>
      </c>
      <c r="BB17" s="13">
        <f t="shared" si="34"/>
        <v>0</v>
      </c>
      <c r="BC17" s="13">
        <f t="shared" si="34"/>
        <v>0</v>
      </c>
      <c r="BD17" s="13">
        <f t="shared" si="34"/>
        <v>0</v>
      </c>
      <c r="BE17" s="13">
        <f t="shared" si="34"/>
        <v>0</v>
      </c>
      <c r="BG17" s="27">
        <v>0.66736111111111107</v>
      </c>
      <c r="BH17" s="29">
        <f>AE17*100/AE$39</f>
        <v>7.2062706615063892</v>
      </c>
      <c r="BI17" s="29">
        <f>AF17*100/AF$39</f>
        <v>6.7331220247519203</v>
      </c>
      <c r="BJ17" s="29">
        <f>AG17*100/AG$39</f>
        <v>6.919208664266427</v>
      </c>
      <c r="BK17" s="29">
        <f t="shared" ref="BK17:CD18" si="35">AH17*100/AH$39</f>
        <v>0</v>
      </c>
      <c r="BL17" s="29">
        <f t="shared" si="35"/>
        <v>0</v>
      </c>
      <c r="BM17" s="29">
        <f t="shared" si="35"/>
        <v>0</v>
      </c>
      <c r="BN17" s="29">
        <f t="shared" si="35"/>
        <v>0</v>
      </c>
      <c r="BO17" s="29">
        <f t="shared" si="35"/>
        <v>0</v>
      </c>
      <c r="BP17" s="29">
        <f t="shared" si="35"/>
        <v>0</v>
      </c>
      <c r="BQ17" s="29">
        <f t="shared" si="35"/>
        <v>4.7685586097146375</v>
      </c>
      <c r="BR17" s="29">
        <f t="shared" si="35"/>
        <v>6.1097940511596054</v>
      </c>
      <c r="BS17" s="29">
        <f t="shared" si="35"/>
        <v>5.8469428711510547</v>
      </c>
      <c r="BT17" s="29">
        <f t="shared" si="35"/>
        <v>6.0979739157790549</v>
      </c>
      <c r="BU17" s="29">
        <f t="shared" si="35"/>
        <v>6.2349123880948634</v>
      </c>
      <c r="BV17" s="29">
        <f t="shared" si="35"/>
        <v>6.4092919201584184</v>
      </c>
      <c r="BW17" s="29">
        <f t="shared" si="35"/>
        <v>0</v>
      </c>
      <c r="BX17" s="29">
        <f t="shared" si="35"/>
        <v>0</v>
      </c>
      <c r="BY17" s="29">
        <f t="shared" si="35"/>
        <v>0</v>
      </c>
      <c r="BZ17" s="29">
        <f t="shared" si="35"/>
        <v>0</v>
      </c>
      <c r="CA17" s="29">
        <f t="shared" si="35"/>
        <v>0</v>
      </c>
      <c r="CB17" s="29">
        <f t="shared" si="35"/>
        <v>0</v>
      </c>
      <c r="CC17" s="29">
        <f t="shared" si="35"/>
        <v>0</v>
      </c>
      <c r="CD17" s="29">
        <f t="shared" si="35"/>
        <v>0</v>
      </c>
      <c r="CE17" s="29">
        <f t="shared" ref="CE17:CE18" si="36">BB17*100/BB$39</f>
        <v>0</v>
      </c>
      <c r="CF17" s="29">
        <f t="shared" ref="CF17:CF18" si="37">BC17*100/BC$39</f>
        <v>0</v>
      </c>
      <c r="CG17" s="29">
        <f t="shared" ref="CG17:CH18" si="38">BD17*100/BD$39</f>
        <v>0</v>
      </c>
      <c r="CH17" s="29">
        <f t="shared" si="38"/>
        <v>0</v>
      </c>
      <c r="CI17" s="34"/>
      <c r="CJ17" s="34"/>
      <c r="CK17" s="34"/>
      <c r="CL17" s="34"/>
      <c r="CM17" s="35"/>
      <c r="CN17" s="35"/>
      <c r="CO17" s="35"/>
      <c r="DD17" s="34"/>
      <c r="DE17" s="35"/>
      <c r="DF17" s="35"/>
      <c r="DG17" s="35"/>
    </row>
    <row r="18" spans="1:113" ht="15" x14ac:dyDescent="0.25">
      <c r="A18" s="72" t="s">
        <v>49</v>
      </c>
      <c r="B18" s="74">
        <v>4929.6841000000004</v>
      </c>
      <c r="C18" s="74">
        <v>4278.9570000000003</v>
      </c>
      <c r="D18" s="74">
        <v>4428.6181999999999</v>
      </c>
      <c r="E18" s="74">
        <v>1017.5676999999999</v>
      </c>
      <c r="F18" s="74">
        <v>959.13340000000005</v>
      </c>
      <c r="G18" s="74">
        <v>1098.0824</v>
      </c>
      <c r="H18" s="74">
        <v>1117.3653999999999</v>
      </c>
      <c r="I18" s="74">
        <v>1089.2306000000001</v>
      </c>
      <c r="J18" s="74">
        <v>1201.8397</v>
      </c>
      <c r="K18" s="74" t="s">
        <v>126</v>
      </c>
      <c r="L18" s="74" t="s">
        <v>127</v>
      </c>
      <c r="M18" s="74" t="s">
        <v>128</v>
      </c>
      <c r="N18" s="74" t="s">
        <v>129</v>
      </c>
      <c r="O18" s="74" t="s">
        <v>130</v>
      </c>
      <c r="P18" s="74" t="s">
        <v>131</v>
      </c>
      <c r="Q18" s="74" t="s">
        <v>132</v>
      </c>
      <c r="R18" s="74" t="s">
        <v>133</v>
      </c>
      <c r="S18" s="74" t="s">
        <v>134</v>
      </c>
      <c r="T18" s="74" t="s">
        <v>135</v>
      </c>
      <c r="U18" s="74" t="s">
        <v>136</v>
      </c>
      <c r="V18" s="74" t="s">
        <v>137</v>
      </c>
      <c r="W18" s="74" t="s">
        <v>138</v>
      </c>
      <c r="X18" s="74" t="s">
        <v>139</v>
      </c>
      <c r="Y18" s="74" t="s">
        <v>140</v>
      </c>
      <c r="Z18" s="74" t="s">
        <v>141</v>
      </c>
      <c r="AA18" s="74" t="s">
        <v>142</v>
      </c>
      <c r="AB18" s="74" t="s">
        <v>143</v>
      </c>
      <c r="AC18" s="74"/>
      <c r="AD18" s="27">
        <v>0.70833333333333337</v>
      </c>
      <c r="AE18" s="13">
        <f t="shared" ref="AE18:BE18" si="39">((B$18/B$18)*$E$3)/270.4*(1/AE$4*1000)/2</f>
        <v>145.8949704142012</v>
      </c>
      <c r="AF18" s="13">
        <f t="shared" si="39"/>
        <v>145.8949704142012</v>
      </c>
      <c r="AG18" s="13">
        <f t="shared" si="39"/>
        <v>145.8949704142012</v>
      </c>
      <c r="AH18" s="13">
        <f t="shared" si="39"/>
        <v>145.8949704142012</v>
      </c>
      <c r="AI18" s="13">
        <f t="shared" si="39"/>
        <v>145.8949704142012</v>
      </c>
      <c r="AJ18" s="13">
        <f t="shared" si="39"/>
        <v>145.8949704142012</v>
      </c>
      <c r="AK18" s="13">
        <f t="shared" si="39"/>
        <v>145.8949704142012</v>
      </c>
      <c r="AL18" s="13">
        <f t="shared" si="39"/>
        <v>145.8949704142012</v>
      </c>
      <c r="AM18" s="13">
        <f t="shared" si="39"/>
        <v>145.8949704142012</v>
      </c>
      <c r="AN18" s="13">
        <f t="shared" si="39"/>
        <v>145.8949704142012</v>
      </c>
      <c r="AO18" s="13">
        <f t="shared" si="39"/>
        <v>145.8949704142012</v>
      </c>
      <c r="AP18" s="13">
        <f t="shared" si="39"/>
        <v>145.8949704142012</v>
      </c>
      <c r="AQ18" s="13">
        <f t="shared" si="39"/>
        <v>145.8949704142012</v>
      </c>
      <c r="AR18" s="13">
        <f t="shared" si="39"/>
        <v>145.8949704142012</v>
      </c>
      <c r="AS18" s="13">
        <f t="shared" si="39"/>
        <v>145.8949704142012</v>
      </c>
      <c r="AT18" s="13">
        <f t="shared" si="39"/>
        <v>145.8949704142012</v>
      </c>
      <c r="AU18" s="13">
        <f t="shared" si="39"/>
        <v>145.8949704142012</v>
      </c>
      <c r="AV18" s="13">
        <f t="shared" si="39"/>
        <v>145.8949704142012</v>
      </c>
      <c r="AW18" s="13">
        <f t="shared" si="39"/>
        <v>145.8949704142012</v>
      </c>
      <c r="AX18" s="13">
        <f t="shared" si="39"/>
        <v>145.8949704142012</v>
      </c>
      <c r="AY18" s="13">
        <f t="shared" si="39"/>
        <v>145.8949704142012</v>
      </c>
      <c r="AZ18" s="13">
        <f t="shared" si="39"/>
        <v>145.8949704142012</v>
      </c>
      <c r="BA18" s="13">
        <f t="shared" si="39"/>
        <v>145.8949704142012</v>
      </c>
      <c r="BB18" s="13">
        <f t="shared" si="39"/>
        <v>145.8949704142012</v>
      </c>
      <c r="BC18" s="13">
        <f t="shared" si="39"/>
        <v>145.8949704142012</v>
      </c>
      <c r="BD18" s="13">
        <f t="shared" si="39"/>
        <v>145.8949704142012</v>
      </c>
      <c r="BE18" s="13">
        <f t="shared" si="39"/>
        <v>145.8949704142012</v>
      </c>
      <c r="BG18" s="27">
        <v>0.70833333333333337</v>
      </c>
      <c r="BH18" s="29">
        <f>AE18*100/AE$39</f>
        <v>12.698981686813056</v>
      </c>
      <c r="BI18" s="29">
        <f>AF18*100/AF$39</f>
        <v>14.056838603650037</v>
      </c>
      <c r="BJ18" s="29">
        <f>AG18*100/AG$39</f>
        <v>14.242885903461682</v>
      </c>
      <c r="BK18" s="29">
        <f t="shared" si="35"/>
        <v>13.244777777848936</v>
      </c>
      <c r="BL18" s="29">
        <f t="shared" si="35"/>
        <v>12.860080760672499</v>
      </c>
      <c r="BM18" s="29">
        <f t="shared" si="35"/>
        <v>12.421133311505544</v>
      </c>
      <c r="BN18" s="29">
        <f t="shared" si="35"/>
        <v>13.687510963748226</v>
      </c>
      <c r="BO18" s="29">
        <f t="shared" si="35"/>
        <v>12.145813646578432</v>
      </c>
      <c r="BP18" s="29">
        <f t="shared" si="35"/>
        <v>12.281232091537568</v>
      </c>
      <c r="BQ18" s="29">
        <f t="shared" si="35"/>
        <v>11.763447087554187</v>
      </c>
      <c r="BR18" s="29">
        <f t="shared" si="35"/>
        <v>10.928729173098892</v>
      </c>
      <c r="BS18" s="29">
        <f t="shared" si="35"/>
        <v>10.285604162101526</v>
      </c>
      <c r="BT18" s="29">
        <f t="shared" si="35"/>
        <v>11.390524991338582</v>
      </c>
      <c r="BU18" s="29">
        <f t="shared" si="35"/>
        <v>11.743532312636692</v>
      </c>
      <c r="BV18" s="29">
        <f t="shared" si="35"/>
        <v>13.153435700322069</v>
      </c>
      <c r="BW18" s="29">
        <f t="shared" si="35"/>
        <v>12.769225991144017</v>
      </c>
      <c r="BX18" s="29">
        <f t="shared" si="35"/>
        <v>10.087276782957</v>
      </c>
      <c r="BY18" s="29">
        <f t="shared" si="35"/>
        <v>10.864617958778148</v>
      </c>
      <c r="BZ18" s="29">
        <f t="shared" si="35"/>
        <v>10.892478399276087</v>
      </c>
      <c r="CA18" s="29">
        <f t="shared" si="35"/>
        <v>8.5217587361460083</v>
      </c>
      <c r="CB18" s="29">
        <f t="shared" si="35"/>
        <v>10.077854774331072</v>
      </c>
      <c r="CC18" s="29">
        <f t="shared" si="35"/>
        <v>10.803476699074675</v>
      </c>
      <c r="CD18" s="29">
        <f t="shared" si="35"/>
        <v>9.5678843259275297</v>
      </c>
      <c r="CE18" s="29">
        <f t="shared" si="36"/>
        <v>9.3838919478159735</v>
      </c>
      <c r="CF18" s="29">
        <f t="shared" si="37"/>
        <v>10.324766207421282</v>
      </c>
      <c r="CG18" s="29">
        <f t="shared" si="38"/>
        <v>8.9617569689846288</v>
      </c>
      <c r="CH18" s="29">
        <f t="shared" si="38"/>
        <v>8.1682714028847165</v>
      </c>
    </row>
    <row r="19" spans="1:113" ht="15" x14ac:dyDescent="0.25">
      <c r="A19" s="72" t="s">
        <v>60</v>
      </c>
      <c r="B19" s="74">
        <v>0</v>
      </c>
      <c r="C19" s="74">
        <v>0</v>
      </c>
      <c r="D19" s="74">
        <v>0</v>
      </c>
      <c r="E19" s="74">
        <v>0</v>
      </c>
      <c r="F19" s="74">
        <v>0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0</v>
      </c>
      <c r="Z19" s="74">
        <v>0</v>
      </c>
      <c r="AA19" s="74">
        <v>0</v>
      </c>
      <c r="AB19" s="74">
        <v>0</v>
      </c>
      <c r="AC19" s="74"/>
      <c r="BG19" s="27">
        <v>0.7090277777777777</v>
      </c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34"/>
      <c r="CJ19" s="35"/>
      <c r="CK19" s="35"/>
      <c r="CL19" s="35"/>
      <c r="CM19" s="35"/>
      <c r="CN19" s="35"/>
      <c r="CO19" s="35"/>
      <c r="DD19" s="35"/>
      <c r="DE19" s="35"/>
      <c r="DF19" s="35"/>
      <c r="DG19" s="35"/>
    </row>
    <row r="20" spans="1:113" s="35" customFormat="1" ht="15" x14ac:dyDescent="0.25">
      <c r="A20" s="71" t="s">
        <v>61</v>
      </c>
      <c r="B20" s="74">
        <v>4270.9326000000001</v>
      </c>
      <c r="C20" s="74">
        <v>3302.5574000000001</v>
      </c>
      <c r="D20" s="74">
        <v>3352.4706999999999</v>
      </c>
      <c r="E20" s="74">
        <v>819.55380000000002</v>
      </c>
      <c r="F20" s="74">
        <v>793.6481</v>
      </c>
      <c r="G20" s="74">
        <v>972.27859999999998</v>
      </c>
      <c r="H20" s="74">
        <v>687.81799999999998</v>
      </c>
      <c r="I20" s="74">
        <v>820.93550000000005</v>
      </c>
      <c r="J20" s="74">
        <v>890.22699999999998</v>
      </c>
      <c r="K20" s="74" t="s">
        <v>144</v>
      </c>
      <c r="L20" s="74" t="s">
        <v>145</v>
      </c>
      <c r="M20" s="74" t="s">
        <v>146</v>
      </c>
      <c r="N20" s="74" t="s">
        <v>147</v>
      </c>
      <c r="O20" s="74" t="s">
        <v>148</v>
      </c>
      <c r="P20" s="74" t="s">
        <v>149</v>
      </c>
      <c r="Q20" s="74" t="s">
        <v>150</v>
      </c>
      <c r="R20" s="74" t="s">
        <v>151</v>
      </c>
      <c r="S20" s="74" t="s">
        <v>152</v>
      </c>
      <c r="T20" s="74" t="s">
        <v>153</v>
      </c>
      <c r="U20" s="74" t="s">
        <v>154</v>
      </c>
      <c r="V20" s="74" t="s">
        <v>155</v>
      </c>
      <c r="W20" s="74" t="s">
        <v>156</v>
      </c>
      <c r="X20" s="74" t="s">
        <v>157</v>
      </c>
      <c r="Y20" s="74" t="s">
        <v>158</v>
      </c>
      <c r="Z20" s="74" t="s">
        <v>159</v>
      </c>
      <c r="AA20" s="74" t="s">
        <v>160</v>
      </c>
      <c r="AB20" s="74" t="s">
        <v>161</v>
      </c>
      <c r="AC20" s="74"/>
      <c r="AD20" s="37" t="s">
        <v>17</v>
      </c>
      <c r="AE20" s="35">
        <f t="shared" ref="AE20:BE20" si="40">((B$20/B$18)*$E$3)/284.4*(1/AE$4*1000)/2</f>
        <v>120.17691278417631</v>
      </c>
      <c r="AF20" s="35">
        <f t="shared" si="40"/>
        <v>107.0606480476868</v>
      </c>
      <c r="AG20" s="35">
        <f t="shared" si="40"/>
        <v>105.0060122528905</v>
      </c>
      <c r="AH20" s="35">
        <f t="shared" si="40"/>
        <v>111.72016560866206</v>
      </c>
      <c r="AI20" s="35">
        <f t="shared" si="40"/>
        <v>114.7800426104409</v>
      </c>
      <c r="AJ20" s="35">
        <f t="shared" si="40"/>
        <v>122.82116477614584</v>
      </c>
      <c r="AK20" s="35">
        <f t="shared" si="40"/>
        <v>85.387782166449256</v>
      </c>
      <c r="AL20" s="35">
        <f t="shared" si="40"/>
        <v>104.545806760198</v>
      </c>
      <c r="AM20" s="35">
        <f t="shared" si="40"/>
        <v>102.74758706956452</v>
      </c>
      <c r="AN20" s="35">
        <f t="shared" si="40"/>
        <v>163.1484028731908</v>
      </c>
      <c r="AO20" s="35">
        <f t="shared" si="40"/>
        <v>176.50838281438988</v>
      </c>
      <c r="AP20" s="35">
        <f t="shared" si="40"/>
        <v>182.36042478209745</v>
      </c>
      <c r="AQ20" s="35">
        <f t="shared" si="40"/>
        <v>149.27188446375055</v>
      </c>
      <c r="AR20" s="35">
        <f t="shared" si="40"/>
        <v>146.63952175453431</v>
      </c>
      <c r="AS20" s="35">
        <f t="shared" si="40"/>
        <v>126.2258816260056</v>
      </c>
      <c r="AT20" s="35">
        <f t="shared" si="40"/>
        <v>166.8844680767516</v>
      </c>
      <c r="AU20" s="35">
        <f t="shared" si="40"/>
        <v>220.79502402334413</v>
      </c>
      <c r="AV20" s="35">
        <f t="shared" si="40"/>
        <v>209.25970202589426</v>
      </c>
      <c r="AW20" s="35">
        <f t="shared" si="40"/>
        <v>174.54131303573877</v>
      </c>
      <c r="AX20" s="35">
        <f t="shared" si="40"/>
        <v>230.78297054140251</v>
      </c>
      <c r="AY20" s="35">
        <f t="shared" si="40"/>
        <v>190.68211806271299</v>
      </c>
      <c r="AZ20" s="35">
        <f t="shared" si="40"/>
        <v>191.04269895169639</v>
      </c>
      <c r="BA20" s="35">
        <f t="shared" si="40"/>
        <v>223.7821923418467</v>
      </c>
      <c r="BB20" s="35">
        <f t="shared" si="40"/>
        <v>229.37451687318651</v>
      </c>
      <c r="BC20" s="35">
        <f t="shared" si="40"/>
        <v>187.33848930382507</v>
      </c>
      <c r="BD20" s="35">
        <f t="shared" si="40"/>
        <v>220.79083228800511</v>
      </c>
      <c r="BE20" s="35">
        <f t="shared" si="40"/>
        <v>243.14688087065409</v>
      </c>
      <c r="BG20" s="53">
        <v>0.75</v>
      </c>
      <c r="BH20" s="29">
        <f t="shared" ref="BH20:BH35" si="41">AE20*100/AE$39</f>
        <v>10.46043198261915</v>
      </c>
      <c r="BI20" s="29">
        <f t="shared" ref="BI20:BI35" si="42">AF20*100/AF$39</f>
        <v>10.31518938683047</v>
      </c>
      <c r="BJ20" s="29">
        <f t="shared" ref="BJ20:BJ35" si="43">AG20*100/AG$39</f>
        <v>10.251132355347053</v>
      </c>
      <c r="BK20" s="29">
        <f t="shared" ref="BK20:BK35" si="44">AH20*100/AH$39</f>
        <v>10.142287719653821</v>
      </c>
      <c r="BL20" s="29">
        <f t="shared" ref="BL20:BL35" si="45">AI20*100/AI$39</f>
        <v>10.11741949357852</v>
      </c>
      <c r="BM20" s="29">
        <f t="shared" ref="BM20:BM35" si="46">AJ20*100/AJ$39</f>
        <v>10.456687141631573</v>
      </c>
      <c r="BN20" s="29">
        <f t="shared" ref="BN20:BN35" si="47">AK20*100/AK$39</f>
        <v>8.0108738584702817</v>
      </c>
      <c r="BO20" s="29">
        <f t="shared" ref="BO20:BO35" si="48">AL20*100/AL$39</f>
        <v>8.7034795156788007</v>
      </c>
      <c r="BP20" s="29">
        <f t="shared" ref="BP20:BP35" si="49">AM20*100/AM$39</f>
        <v>8.6491464377716358</v>
      </c>
      <c r="BQ20" s="29">
        <f t="shared" ref="BQ20:BQ35" si="50">AN20*100/AN$39</f>
        <v>13.154583733552359</v>
      </c>
      <c r="BR20" s="29">
        <f t="shared" ref="BR20:BR35" si="51">AO20*100/AO$39</f>
        <v>13.221924697497061</v>
      </c>
      <c r="BS20" s="29">
        <f t="shared" ref="BS20:BS35" si="52">AP20*100/AP$39</f>
        <v>12.856420881516334</v>
      </c>
      <c r="BT20" s="29">
        <f t="shared" ref="BT20:BT35" si="53">AQ20*100/AQ$39</f>
        <v>11.654172351941838</v>
      </c>
      <c r="BU20" s="29">
        <f t="shared" ref="BU20:BU35" si="54">AR20*100/AR$39</f>
        <v>11.8034635268437</v>
      </c>
      <c r="BV20" s="29">
        <f t="shared" ref="BV20:BV35" si="55">AS20*100/AS$39</f>
        <v>11.380131974189824</v>
      </c>
      <c r="BW20" s="29">
        <f t="shared" ref="BW20:BW35" si="56">AT20*100/AT$39</f>
        <v>14.606298498392059</v>
      </c>
      <c r="BX20" s="29">
        <f t="shared" ref="BX20:BX35" si="57">AU20*100/AU$39</f>
        <v>15.265917072397706</v>
      </c>
      <c r="BY20" s="29">
        <f t="shared" ref="BY20:BY35" si="58">AV20*100/AV$39</f>
        <v>15.583311132827049</v>
      </c>
      <c r="BZ20" s="29">
        <f t="shared" ref="BZ20:BZ35" si="59">AW20*100/AW$39</f>
        <v>13.031206467402741</v>
      </c>
      <c r="CA20" s="29">
        <f t="shared" ref="CA20:CA35" si="60">AX20*100/AX$39</f>
        <v>13.480086323616609</v>
      </c>
      <c r="CB20" s="29">
        <f t="shared" ref="CB20:CB35" si="61">AY20*100/AY$39</f>
        <v>13.171576021038906</v>
      </c>
      <c r="CC20" s="29">
        <f t="shared" ref="CC20:CC35" si="62">AZ20*100/AZ$39</f>
        <v>14.146651805702623</v>
      </c>
      <c r="CD20" s="29">
        <f t="shared" ref="CD20:CD35" si="63">BA20*100/BA$39</f>
        <v>14.675777543602294</v>
      </c>
      <c r="CE20" s="29">
        <f t="shared" ref="CE20:CE35" si="64">BB20*100/BB$39</f>
        <v>14.753254864164669</v>
      </c>
      <c r="CF20" s="29">
        <f t="shared" ref="CF20:CF35" si="65">BC20*100/BC$39</f>
        <v>13.257661304033631</v>
      </c>
      <c r="CG20" s="29">
        <f t="shared" ref="CG20:CH35" si="66">BD20*100/BD$39</f>
        <v>13.562316605756994</v>
      </c>
      <c r="CH20" s="29">
        <f t="shared" si="66"/>
        <v>13.613147239262593</v>
      </c>
      <c r="CI20" s="34"/>
      <c r="CP20" s="13"/>
      <c r="CQ20" s="13"/>
      <c r="DH20" s="13"/>
      <c r="DI20" s="13"/>
    </row>
    <row r="21" spans="1:113" ht="15" x14ac:dyDescent="0.25">
      <c r="A21" s="72" t="s">
        <v>62</v>
      </c>
      <c r="B21" s="74">
        <v>7747.7602999999999</v>
      </c>
      <c r="C21" s="74">
        <v>6266.9258</v>
      </c>
      <c r="D21" s="74">
        <v>6936.6035000000002</v>
      </c>
      <c r="E21" s="74">
        <v>2175.6414</v>
      </c>
      <c r="F21" s="74">
        <v>2120.5891000000001</v>
      </c>
      <c r="G21" s="74">
        <v>2529.6848</v>
      </c>
      <c r="H21" s="74">
        <v>2093.9771000000001</v>
      </c>
      <c r="I21" s="74">
        <v>2211.6316000000002</v>
      </c>
      <c r="J21" s="74">
        <v>2435.8921</v>
      </c>
      <c r="K21" s="74" t="s">
        <v>162</v>
      </c>
      <c r="L21" s="74" t="s">
        <v>163</v>
      </c>
      <c r="M21" s="74" t="s">
        <v>164</v>
      </c>
      <c r="N21" s="74" t="s">
        <v>165</v>
      </c>
      <c r="O21" s="74" t="s">
        <v>166</v>
      </c>
      <c r="P21" s="74" t="s">
        <v>167</v>
      </c>
      <c r="Q21" s="74" t="s">
        <v>168</v>
      </c>
      <c r="R21" s="74" t="s">
        <v>169</v>
      </c>
      <c r="S21" s="74" t="s">
        <v>170</v>
      </c>
      <c r="T21" s="74" t="s">
        <v>171</v>
      </c>
      <c r="U21" s="74" t="s">
        <v>172</v>
      </c>
      <c r="V21" s="74" t="s">
        <v>173</v>
      </c>
      <c r="W21" s="74" t="s">
        <v>174</v>
      </c>
      <c r="X21" s="74" t="s">
        <v>175</v>
      </c>
      <c r="Y21" s="74" t="s">
        <v>176</v>
      </c>
      <c r="Z21" s="74" t="s">
        <v>177</v>
      </c>
      <c r="AA21" s="74" t="s">
        <v>178</v>
      </c>
      <c r="AB21" s="74" t="s">
        <v>179</v>
      </c>
      <c r="AC21" s="74"/>
      <c r="AD21" s="32" t="s">
        <v>18</v>
      </c>
      <c r="AE21" s="13">
        <f t="shared" ref="AE21:BE21" si="67">((B$21/B$18)*$E$3)/282.4*(1/AE$4*1000)/2</f>
        <v>219.55301285590716</v>
      </c>
      <c r="AF21" s="13">
        <f t="shared" si="67"/>
        <v>204.59685127254028</v>
      </c>
      <c r="AG21" s="13">
        <f t="shared" si="67"/>
        <v>218.80686581973799</v>
      </c>
      <c r="AH21" s="13">
        <f t="shared" si="67"/>
        <v>298.6801195791337</v>
      </c>
      <c r="AI21" s="13">
        <f t="shared" si="67"/>
        <v>308.85869007867166</v>
      </c>
      <c r="AJ21" s="13">
        <f t="shared" si="67"/>
        <v>321.82056698711528</v>
      </c>
      <c r="AK21" s="13">
        <f t="shared" si="67"/>
        <v>261.79359926096316</v>
      </c>
      <c r="AL21" s="13">
        <f t="shared" si="67"/>
        <v>283.64508867771326</v>
      </c>
      <c r="AM21" s="13">
        <f t="shared" si="67"/>
        <v>283.13516810876848</v>
      </c>
      <c r="AN21" s="13">
        <f t="shared" si="67"/>
        <v>302.37846553516238</v>
      </c>
      <c r="AO21" s="13">
        <f t="shared" si="67"/>
        <v>336.76415829518658</v>
      </c>
      <c r="AP21" s="13">
        <f t="shared" si="67"/>
        <v>344.08972098507377</v>
      </c>
      <c r="AQ21" s="13">
        <f t="shared" si="67"/>
        <v>318.15503464474716</v>
      </c>
      <c r="AR21" s="13">
        <f t="shared" si="67"/>
        <v>306.61886812221405</v>
      </c>
      <c r="AS21" s="13">
        <f t="shared" si="67"/>
        <v>266.67709253420867</v>
      </c>
      <c r="AT21" s="13">
        <f t="shared" si="67"/>
        <v>292.2438155134459</v>
      </c>
      <c r="AU21" s="13">
        <f t="shared" si="67"/>
        <v>390.94519132262633</v>
      </c>
      <c r="AV21" s="13">
        <f t="shared" si="67"/>
        <v>298.44216378466518</v>
      </c>
      <c r="AW21" s="13">
        <f t="shared" si="67"/>
        <v>409.1517676269911</v>
      </c>
      <c r="AX21" s="13">
        <f t="shared" si="67"/>
        <v>529.96824372285073</v>
      </c>
      <c r="AY21" s="13">
        <f t="shared" si="67"/>
        <v>452.56013231576105</v>
      </c>
      <c r="AZ21" s="13">
        <f t="shared" si="67"/>
        <v>313.38386856752231</v>
      </c>
      <c r="BA21" s="13">
        <f t="shared" si="67"/>
        <v>363.00820925001989</v>
      </c>
      <c r="BB21" s="13">
        <f t="shared" si="67"/>
        <v>368.00276117727043</v>
      </c>
      <c r="BC21" s="13">
        <f t="shared" si="67"/>
        <v>390.91712155171041</v>
      </c>
      <c r="BD21" s="13">
        <f t="shared" si="67"/>
        <v>459.68412416465554</v>
      </c>
      <c r="BE21" s="13">
        <f t="shared" si="67"/>
        <v>504.23499376603297</v>
      </c>
      <c r="BG21" s="27">
        <v>0.75069444444444444</v>
      </c>
      <c r="BH21" s="29">
        <f t="shared" si="41"/>
        <v>19.110320812474061</v>
      </c>
      <c r="BI21" s="29">
        <f t="shared" si="42"/>
        <v>19.712707771817371</v>
      </c>
      <c r="BJ21" s="29">
        <f t="shared" si="43"/>
        <v>21.360854427790667</v>
      </c>
      <c r="BK21" s="29">
        <f t="shared" si="44"/>
        <v>27.115066401918313</v>
      </c>
      <c r="BL21" s="29">
        <f t="shared" si="45"/>
        <v>27.224706148338967</v>
      </c>
      <c r="BM21" s="29">
        <f t="shared" si="46"/>
        <v>27.398999112735421</v>
      </c>
      <c r="BN21" s="29">
        <f t="shared" si="47"/>
        <v>24.56083818345769</v>
      </c>
      <c r="BO21" s="29">
        <f t="shared" si="48"/>
        <v>23.613565149408181</v>
      </c>
      <c r="BP21" s="29">
        <f t="shared" si="49"/>
        <v>23.833917666580653</v>
      </c>
      <c r="BQ21" s="29">
        <f t="shared" si="50"/>
        <v>24.380642249970776</v>
      </c>
      <c r="BR21" s="29">
        <f t="shared" si="51"/>
        <v>25.226395884422164</v>
      </c>
      <c r="BS21" s="29">
        <f t="shared" si="52"/>
        <v>24.258345961156795</v>
      </c>
      <c r="BT21" s="29">
        <f t="shared" si="53"/>
        <v>24.839464053850858</v>
      </c>
      <c r="BU21" s="29">
        <f t="shared" si="54"/>
        <v>24.680690329725127</v>
      </c>
      <c r="BV21" s="29">
        <f t="shared" si="55"/>
        <v>24.042775288544945</v>
      </c>
      <c r="BW21" s="29">
        <f t="shared" si="56"/>
        <v>25.578176644546957</v>
      </c>
      <c r="BX21" s="29">
        <f t="shared" si="57"/>
        <v>27.030214548462251</v>
      </c>
      <c r="BY21" s="29">
        <f t="shared" si="58"/>
        <v>22.224618731584911</v>
      </c>
      <c r="BZ21" s="29">
        <f t="shared" si="59"/>
        <v>30.547158536376955</v>
      </c>
      <c r="CA21" s="29">
        <f t="shared" si="60"/>
        <v>30.955566857468266</v>
      </c>
      <c r="CB21" s="29">
        <f t="shared" si="61"/>
        <v>31.261086500664931</v>
      </c>
      <c r="CC21" s="29">
        <f t="shared" si="62"/>
        <v>23.205976959474096</v>
      </c>
      <c r="CD21" s="29">
        <f t="shared" si="63"/>
        <v>23.806307685629498</v>
      </c>
      <c r="CE21" s="29">
        <f t="shared" si="64"/>
        <v>23.669754602104462</v>
      </c>
      <c r="CF21" s="29">
        <f t="shared" si="65"/>
        <v>27.664612940670828</v>
      </c>
      <c r="CG21" s="29">
        <f t="shared" si="66"/>
        <v>28.236596447215177</v>
      </c>
      <c r="CH21" s="29">
        <f t="shared" si="66"/>
        <v>28.230776346981802</v>
      </c>
      <c r="CI21" s="34"/>
      <c r="CJ21" s="35"/>
      <c r="CK21" s="35"/>
      <c r="CL21" s="35"/>
      <c r="CM21" s="35"/>
      <c r="CN21" s="35"/>
      <c r="CO21" s="35"/>
      <c r="DD21" s="35"/>
      <c r="DE21" s="35"/>
      <c r="DF21" s="35"/>
      <c r="DG21" s="35"/>
    </row>
    <row r="22" spans="1:113" ht="15" x14ac:dyDescent="0.25">
      <c r="A22" s="72" t="s">
        <v>63</v>
      </c>
      <c r="B22" s="74">
        <v>1975.1058</v>
      </c>
      <c r="C22" s="74">
        <v>1962.8992000000001</v>
      </c>
      <c r="D22" s="74">
        <v>1488.6315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 t="s">
        <v>180</v>
      </c>
      <c r="L22" s="74" t="s">
        <v>181</v>
      </c>
      <c r="M22" s="74" t="s">
        <v>182</v>
      </c>
      <c r="N22" s="74" t="s">
        <v>183</v>
      </c>
      <c r="O22" s="74" t="s">
        <v>184</v>
      </c>
      <c r="P22" s="74" t="s">
        <v>185</v>
      </c>
      <c r="Q22" s="74">
        <v>0</v>
      </c>
      <c r="R22" s="74">
        <v>0</v>
      </c>
      <c r="S22" s="74" t="s">
        <v>186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  <c r="Z22" s="74">
        <v>0</v>
      </c>
      <c r="AA22" s="74">
        <v>0</v>
      </c>
      <c r="AB22" s="74">
        <v>0</v>
      </c>
      <c r="AC22" s="74"/>
      <c r="AD22" s="32" t="s">
        <v>36</v>
      </c>
      <c r="AE22" s="13">
        <f t="shared" ref="AE22:BE22" si="68">((B$22/B$18)*$E$3)/282.4*(1/AE$4*1000)/2</f>
        <v>55.969778659669799</v>
      </c>
      <c r="AF22" s="13">
        <f t="shared" si="68"/>
        <v>64.082934520365342</v>
      </c>
      <c r="AG22" s="13">
        <f t="shared" si="68"/>
        <v>46.957101249269222</v>
      </c>
      <c r="AH22" s="13">
        <f t="shared" si="68"/>
        <v>0</v>
      </c>
      <c r="AI22" s="13">
        <f t="shared" si="68"/>
        <v>0</v>
      </c>
      <c r="AJ22" s="13">
        <f t="shared" si="68"/>
        <v>0</v>
      </c>
      <c r="AK22" s="13">
        <f t="shared" si="68"/>
        <v>0</v>
      </c>
      <c r="AL22" s="13">
        <f t="shared" si="68"/>
        <v>0</v>
      </c>
      <c r="AM22" s="13">
        <f t="shared" si="68"/>
        <v>0</v>
      </c>
      <c r="AN22" s="13">
        <f t="shared" si="68"/>
        <v>77.861943585606838</v>
      </c>
      <c r="AO22" s="13">
        <f t="shared" si="68"/>
        <v>78.79525664717633</v>
      </c>
      <c r="AP22" s="13">
        <f t="shared" si="68"/>
        <v>86.331024559289446</v>
      </c>
      <c r="AQ22" s="13">
        <f t="shared" si="68"/>
        <v>71.994280543707717</v>
      </c>
      <c r="AR22" s="13">
        <f t="shared" si="68"/>
        <v>69.320874729531013</v>
      </c>
      <c r="AS22" s="13">
        <f t="shared" si="68"/>
        <v>59.572337960972384</v>
      </c>
      <c r="AT22" s="13">
        <f t="shared" si="68"/>
        <v>0</v>
      </c>
      <c r="AU22" s="13">
        <f t="shared" si="68"/>
        <v>0</v>
      </c>
      <c r="AV22" s="13">
        <f t="shared" si="68"/>
        <v>36.404781082031995</v>
      </c>
      <c r="AW22" s="13">
        <f t="shared" si="68"/>
        <v>0</v>
      </c>
      <c r="AX22" s="13">
        <f t="shared" si="68"/>
        <v>0</v>
      </c>
      <c r="AY22" s="13">
        <f t="shared" si="68"/>
        <v>0</v>
      </c>
      <c r="AZ22" s="13">
        <f t="shared" si="68"/>
        <v>0</v>
      </c>
      <c r="BA22" s="13">
        <f t="shared" si="68"/>
        <v>0</v>
      </c>
      <c r="BB22" s="13">
        <f t="shared" si="68"/>
        <v>0</v>
      </c>
      <c r="BC22" s="13">
        <f t="shared" si="68"/>
        <v>0</v>
      </c>
      <c r="BD22" s="13">
        <f t="shared" si="68"/>
        <v>0</v>
      </c>
      <c r="BE22" s="13">
        <f t="shared" si="68"/>
        <v>0</v>
      </c>
      <c r="BG22" s="54" t="s">
        <v>36</v>
      </c>
      <c r="BH22" s="29">
        <f t="shared" si="41"/>
        <v>4.8717182792268678</v>
      </c>
      <c r="BI22" s="29">
        <f t="shared" si="42"/>
        <v>6.1743284586414111</v>
      </c>
      <c r="BJ22" s="29">
        <f t="shared" si="43"/>
        <v>4.584151417638858</v>
      </c>
      <c r="BK22" s="29">
        <f t="shared" si="44"/>
        <v>0</v>
      </c>
      <c r="BL22" s="29">
        <f t="shared" si="45"/>
        <v>0</v>
      </c>
      <c r="BM22" s="29">
        <f t="shared" si="46"/>
        <v>0</v>
      </c>
      <c r="BN22" s="29">
        <f t="shared" si="47"/>
        <v>0</v>
      </c>
      <c r="BO22" s="29">
        <f t="shared" si="48"/>
        <v>0</v>
      </c>
      <c r="BP22" s="29">
        <f t="shared" si="49"/>
        <v>0</v>
      </c>
      <c r="BQ22" s="29">
        <f t="shared" si="50"/>
        <v>6.2779741543047773</v>
      </c>
      <c r="BR22" s="29">
        <f t="shared" si="51"/>
        <v>5.9024106011127371</v>
      </c>
      <c r="BS22" s="29">
        <f t="shared" si="52"/>
        <v>6.0863424078605748</v>
      </c>
      <c r="BT22" s="29">
        <f t="shared" si="53"/>
        <v>5.620842510460669</v>
      </c>
      <c r="BU22" s="29">
        <f t="shared" si="54"/>
        <v>5.5798491888740749</v>
      </c>
      <c r="BV22" s="29">
        <f t="shared" si="55"/>
        <v>5.3708562718981376</v>
      </c>
      <c r="BW22" s="29">
        <f t="shared" si="56"/>
        <v>0</v>
      </c>
      <c r="BX22" s="29">
        <f t="shared" si="57"/>
        <v>0</v>
      </c>
      <c r="BY22" s="29">
        <f t="shared" si="58"/>
        <v>2.7110190104999812</v>
      </c>
      <c r="BZ22" s="29">
        <f t="shared" si="59"/>
        <v>0</v>
      </c>
      <c r="CA22" s="29">
        <f t="shared" si="60"/>
        <v>0</v>
      </c>
      <c r="CB22" s="29">
        <f t="shared" si="61"/>
        <v>0</v>
      </c>
      <c r="CC22" s="29">
        <f t="shared" si="62"/>
        <v>0</v>
      </c>
      <c r="CD22" s="29">
        <f t="shared" si="63"/>
        <v>0</v>
      </c>
      <c r="CE22" s="29">
        <f t="shared" si="64"/>
        <v>0</v>
      </c>
      <c r="CF22" s="29">
        <f t="shared" si="65"/>
        <v>0</v>
      </c>
      <c r="CG22" s="29">
        <f t="shared" si="66"/>
        <v>0</v>
      </c>
      <c r="CH22" s="29">
        <f t="shared" si="66"/>
        <v>0</v>
      </c>
      <c r="CI22" s="34"/>
      <c r="CJ22" s="34"/>
      <c r="CK22" s="34"/>
      <c r="CL22" s="34"/>
      <c r="CM22" s="35"/>
      <c r="CN22" s="35"/>
      <c r="CO22" s="35"/>
      <c r="DD22" s="34"/>
      <c r="DE22" s="35"/>
      <c r="DF22" s="35"/>
      <c r="DG22" s="35"/>
    </row>
    <row r="23" spans="1:113" ht="15" x14ac:dyDescent="0.25">
      <c r="A23" s="72" t="s">
        <v>64</v>
      </c>
      <c r="B23" s="74">
        <v>2185.5873999999999</v>
      </c>
      <c r="C23" s="74">
        <v>1652.1510000000001</v>
      </c>
      <c r="D23" s="74">
        <v>1806.0679</v>
      </c>
      <c r="E23" s="74">
        <v>632.92060000000004</v>
      </c>
      <c r="F23" s="74">
        <v>635.48599999999999</v>
      </c>
      <c r="G23" s="74">
        <v>761.84960000000001</v>
      </c>
      <c r="H23" s="74">
        <v>893.34580000000005</v>
      </c>
      <c r="I23" s="74">
        <v>1017.0236</v>
      </c>
      <c r="J23" s="74">
        <v>1098.9514999999999</v>
      </c>
      <c r="K23" s="74" t="s">
        <v>187</v>
      </c>
      <c r="L23" s="74" t="s">
        <v>188</v>
      </c>
      <c r="M23" s="74" t="s">
        <v>189</v>
      </c>
      <c r="N23" s="74" t="s">
        <v>190</v>
      </c>
      <c r="O23" s="74" t="s">
        <v>191</v>
      </c>
      <c r="P23" s="74" t="s">
        <v>192</v>
      </c>
      <c r="Q23" s="74" t="s">
        <v>193</v>
      </c>
      <c r="R23" s="74" t="s">
        <v>194</v>
      </c>
      <c r="S23" s="74" t="s">
        <v>195</v>
      </c>
      <c r="T23" s="74" t="s">
        <v>196</v>
      </c>
      <c r="U23" s="74" t="s">
        <v>197</v>
      </c>
      <c r="V23" s="74" t="s">
        <v>198</v>
      </c>
      <c r="W23" s="74" t="s">
        <v>199</v>
      </c>
      <c r="X23" s="74" t="s">
        <v>200</v>
      </c>
      <c r="Y23" s="74" t="s">
        <v>201</v>
      </c>
      <c r="Z23" s="74" t="s">
        <v>202</v>
      </c>
      <c r="AA23" s="74" t="s">
        <v>203</v>
      </c>
      <c r="AB23" s="74" t="s">
        <v>204</v>
      </c>
      <c r="AC23" s="74"/>
      <c r="AD23" s="32" t="s">
        <v>19</v>
      </c>
      <c r="AE23" s="13">
        <f t="shared" ref="AE23:BE23" si="69">((B$23/B$18)*$E$3)/280.4*(1/AE$4*1000)/2</f>
        <v>62.376081185798512</v>
      </c>
      <c r="AF23" s="13">
        <f t="shared" si="69"/>
        <v>54.322633216905793</v>
      </c>
      <c r="AG23" s="13">
        <f t="shared" si="69"/>
        <v>57.37660292243995</v>
      </c>
      <c r="AH23" s="13">
        <f t="shared" si="69"/>
        <v>87.509442359475727</v>
      </c>
      <c r="AI23" s="13">
        <f t="shared" si="69"/>
        <v>93.217182208573263</v>
      </c>
      <c r="AJ23" s="13">
        <f t="shared" si="69"/>
        <v>97.612022501437551</v>
      </c>
      <c r="AK23" s="13">
        <f t="shared" si="69"/>
        <v>112.48468052610963</v>
      </c>
      <c r="AL23" s="13">
        <f t="shared" si="69"/>
        <v>131.36515890750786</v>
      </c>
      <c r="AM23" s="13">
        <f t="shared" si="69"/>
        <v>128.64738967302685</v>
      </c>
      <c r="AN23" s="13">
        <f t="shared" si="69"/>
        <v>61.559660031127315</v>
      </c>
      <c r="AO23" s="13">
        <f t="shared" si="69"/>
        <v>65.034886241717018</v>
      </c>
      <c r="AP23" s="13">
        <f t="shared" si="69"/>
        <v>70.057234440892358</v>
      </c>
      <c r="AQ23" s="13">
        <f t="shared" si="69"/>
        <v>63.886812380703475</v>
      </c>
      <c r="AR23" s="13">
        <f t="shared" si="69"/>
        <v>64.360029253220716</v>
      </c>
      <c r="AS23" s="13">
        <f t="shared" si="69"/>
        <v>55.13182961208048</v>
      </c>
      <c r="AT23" s="13">
        <f t="shared" si="69"/>
        <v>85.422332255083049</v>
      </c>
      <c r="AU23" s="13">
        <f t="shared" si="69"/>
        <v>119.11406625357638</v>
      </c>
      <c r="AV23" s="13">
        <f t="shared" si="69"/>
        <v>107.10475958347799</v>
      </c>
      <c r="AW23" s="13">
        <f t="shared" si="69"/>
        <v>95.737528200433218</v>
      </c>
      <c r="AX23" s="13">
        <f t="shared" si="69"/>
        <v>126.04641446544885</v>
      </c>
      <c r="AY23" s="13">
        <f t="shared" si="69"/>
        <v>109.89583195972007</v>
      </c>
      <c r="AZ23" s="13">
        <f t="shared" si="69"/>
        <v>133.13296115269321</v>
      </c>
      <c r="BA23" s="13">
        <f t="shared" si="69"/>
        <v>157.85242159226729</v>
      </c>
      <c r="BB23" s="13">
        <f t="shared" si="69"/>
        <v>161.39894026908809</v>
      </c>
      <c r="BC23" s="13">
        <f t="shared" si="69"/>
        <v>145.77854441756764</v>
      </c>
      <c r="BD23" s="13">
        <f t="shared" si="69"/>
        <v>169.76085852622631</v>
      </c>
      <c r="BE23" s="13">
        <f t="shared" si="69"/>
        <v>188.78184104719668</v>
      </c>
      <c r="BG23" s="27">
        <v>0.75138888888888899</v>
      </c>
      <c r="BH23" s="29">
        <f t="shared" si="41"/>
        <v>5.4293352980214644</v>
      </c>
      <c r="BI23" s="29">
        <f t="shared" si="42"/>
        <v>5.233932914119122</v>
      </c>
      <c r="BJ23" s="29">
        <f t="shared" si="43"/>
        <v>5.6013473708686021</v>
      </c>
      <c r="BK23" s="29">
        <f t="shared" si="44"/>
        <v>7.944366513966659</v>
      </c>
      <c r="BL23" s="29">
        <f t="shared" si="45"/>
        <v>8.2167362458156976</v>
      </c>
      <c r="BM23" s="29">
        <f t="shared" si="46"/>
        <v>8.3104437449340374</v>
      </c>
      <c r="BN23" s="29">
        <f t="shared" si="47"/>
        <v>10.553038899036483</v>
      </c>
      <c r="BO23" s="29">
        <f t="shared" si="48"/>
        <v>10.936201126152367</v>
      </c>
      <c r="BP23" s="29">
        <f t="shared" si="49"/>
        <v>10.829355159121553</v>
      </c>
      <c r="BQ23" s="29">
        <f t="shared" si="50"/>
        <v>4.9635282247776686</v>
      </c>
      <c r="BR23" s="29">
        <f t="shared" si="51"/>
        <v>4.8716460651191671</v>
      </c>
      <c r="BS23" s="29">
        <f t="shared" si="52"/>
        <v>4.939039228732895</v>
      </c>
      <c r="BT23" s="29">
        <f t="shared" si="53"/>
        <v>4.9878644272203667</v>
      </c>
      <c r="BU23" s="29">
        <f t="shared" si="54"/>
        <v>5.1805355663163448</v>
      </c>
      <c r="BV23" s="29">
        <f t="shared" si="55"/>
        <v>4.9705138825884125</v>
      </c>
      <c r="BW23" s="29">
        <f t="shared" si="56"/>
        <v>7.4764542064677775</v>
      </c>
      <c r="BX23" s="29">
        <f t="shared" si="57"/>
        <v>8.235626983110496</v>
      </c>
      <c r="BY23" s="29">
        <f t="shared" si="58"/>
        <v>7.9759589459295208</v>
      </c>
      <c r="BZ23" s="29">
        <f t="shared" si="59"/>
        <v>7.1477375468304531</v>
      </c>
      <c r="CA23" s="29">
        <f t="shared" si="60"/>
        <v>7.3624000236697968</v>
      </c>
      <c r="CB23" s="29">
        <f t="shared" si="61"/>
        <v>7.5911748818350375</v>
      </c>
      <c r="CC23" s="29">
        <f t="shared" si="62"/>
        <v>9.8584539248238077</v>
      </c>
      <c r="CD23" s="29">
        <f t="shared" si="63"/>
        <v>10.352061528060373</v>
      </c>
      <c r="CE23" s="29">
        <f t="shared" si="64"/>
        <v>10.381099579219649</v>
      </c>
      <c r="CF23" s="29">
        <f t="shared" si="65"/>
        <v>10.316526915879601</v>
      </c>
      <c r="CG23" s="29">
        <f t="shared" si="66"/>
        <v>10.427745059607181</v>
      </c>
      <c r="CH23" s="29">
        <f t="shared" si="66"/>
        <v>10.569393237010773</v>
      </c>
      <c r="CI23" s="35"/>
      <c r="CJ23" s="45"/>
      <c r="CK23" s="45"/>
      <c r="CL23" s="45"/>
      <c r="CM23" s="35"/>
      <c r="CN23" s="35"/>
      <c r="CO23" s="35"/>
      <c r="DD23" s="45"/>
      <c r="DE23" s="35"/>
      <c r="DF23" s="35"/>
      <c r="DG23" s="35"/>
    </row>
    <row r="24" spans="1:113" ht="15" x14ac:dyDescent="0.25">
      <c r="A24" s="72" t="s">
        <v>65</v>
      </c>
      <c r="B24" s="74">
        <v>0</v>
      </c>
      <c r="C24" s="74">
        <v>0</v>
      </c>
      <c r="D24" s="74">
        <v>0</v>
      </c>
      <c r="E24" s="74">
        <v>0</v>
      </c>
      <c r="F24" s="74">
        <v>0</v>
      </c>
      <c r="G24" s="74">
        <v>0</v>
      </c>
      <c r="H24" s="74">
        <v>0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  <c r="Z24" s="74">
        <v>0</v>
      </c>
      <c r="AA24" s="74">
        <v>0</v>
      </c>
      <c r="AB24" s="74">
        <v>0</v>
      </c>
      <c r="AC24" s="74"/>
      <c r="AD24" s="32" t="s">
        <v>21</v>
      </c>
      <c r="AE24" s="13">
        <f t="shared" ref="AE24:BE24" si="70">((B$24/B$18)*$E$3)/278.4*(1/AE$4*1000)/2</f>
        <v>0</v>
      </c>
      <c r="AF24" s="13">
        <f t="shared" si="70"/>
        <v>0</v>
      </c>
      <c r="AG24" s="13">
        <f t="shared" si="70"/>
        <v>0</v>
      </c>
      <c r="AH24" s="13">
        <f t="shared" si="70"/>
        <v>0</v>
      </c>
      <c r="AI24" s="13">
        <f t="shared" si="70"/>
        <v>0</v>
      </c>
      <c r="AJ24" s="13">
        <f t="shared" si="70"/>
        <v>0</v>
      </c>
      <c r="AK24" s="13">
        <f t="shared" si="70"/>
        <v>0</v>
      </c>
      <c r="AL24" s="13">
        <f t="shared" si="70"/>
        <v>0</v>
      </c>
      <c r="AM24" s="13">
        <f t="shared" si="70"/>
        <v>0</v>
      </c>
      <c r="AN24" s="13">
        <f t="shared" si="70"/>
        <v>0</v>
      </c>
      <c r="AO24" s="13">
        <f t="shared" si="70"/>
        <v>0</v>
      </c>
      <c r="AP24" s="13">
        <f t="shared" si="70"/>
        <v>0</v>
      </c>
      <c r="AQ24" s="13">
        <f t="shared" si="70"/>
        <v>0</v>
      </c>
      <c r="AR24" s="13">
        <f t="shared" si="70"/>
        <v>0</v>
      </c>
      <c r="AS24" s="13">
        <f t="shared" si="70"/>
        <v>0</v>
      </c>
      <c r="AT24" s="13">
        <f t="shared" si="70"/>
        <v>0</v>
      </c>
      <c r="AU24" s="13">
        <f t="shared" si="70"/>
        <v>0</v>
      </c>
      <c r="AV24" s="13">
        <f t="shared" si="70"/>
        <v>0</v>
      </c>
      <c r="AW24" s="13">
        <f t="shared" si="70"/>
        <v>0</v>
      </c>
      <c r="AX24" s="13">
        <f t="shared" si="70"/>
        <v>0</v>
      </c>
      <c r="AY24" s="13">
        <f t="shared" si="70"/>
        <v>0</v>
      </c>
      <c r="AZ24" s="13">
        <f t="shared" si="70"/>
        <v>0</v>
      </c>
      <c r="BA24" s="13">
        <f t="shared" si="70"/>
        <v>0</v>
      </c>
      <c r="BB24" s="13">
        <f t="shared" si="70"/>
        <v>0</v>
      </c>
      <c r="BC24" s="13">
        <f t="shared" si="70"/>
        <v>0</v>
      </c>
      <c r="BD24" s="13">
        <f t="shared" si="70"/>
        <v>0</v>
      </c>
      <c r="BE24" s="13">
        <f t="shared" si="70"/>
        <v>0</v>
      </c>
      <c r="BG24" s="31" t="s">
        <v>20</v>
      </c>
      <c r="BH24" s="29">
        <f t="shared" si="41"/>
        <v>0</v>
      </c>
      <c r="BI24" s="29">
        <f t="shared" si="42"/>
        <v>0</v>
      </c>
      <c r="BJ24" s="29">
        <f t="shared" si="43"/>
        <v>0</v>
      </c>
      <c r="BK24" s="29">
        <f t="shared" si="44"/>
        <v>0</v>
      </c>
      <c r="BL24" s="29">
        <f t="shared" si="45"/>
        <v>0</v>
      </c>
      <c r="BM24" s="29">
        <f t="shared" si="46"/>
        <v>0</v>
      </c>
      <c r="BN24" s="29">
        <f t="shared" si="47"/>
        <v>0</v>
      </c>
      <c r="BO24" s="29">
        <f t="shared" si="48"/>
        <v>0</v>
      </c>
      <c r="BP24" s="29">
        <f t="shared" si="49"/>
        <v>0</v>
      </c>
      <c r="BQ24" s="29">
        <f t="shared" si="50"/>
        <v>0</v>
      </c>
      <c r="BR24" s="29">
        <f t="shared" si="51"/>
        <v>0</v>
      </c>
      <c r="BS24" s="29">
        <f t="shared" si="52"/>
        <v>0</v>
      </c>
      <c r="BT24" s="29">
        <f t="shared" si="53"/>
        <v>0</v>
      </c>
      <c r="BU24" s="29">
        <f t="shared" si="54"/>
        <v>0</v>
      </c>
      <c r="BV24" s="29">
        <f t="shared" si="55"/>
        <v>0</v>
      </c>
      <c r="BW24" s="29">
        <f t="shared" si="56"/>
        <v>0</v>
      </c>
      <c r="BX24" s="29">
        <f t="shared" si="57"/>
        <v>0</v>
      </c>
      <c r="BY24" s="29">
        <f t="shared" si="58"/>
        <v>0</v>
      </c>
      <c r="BZ24" s="29">
        <f t="shared" si="59"/>
        <v>0</v>
      </c>
      <c r="CA24" s="29">
        <f t="shared" si="60"/>
        <v>0</v>
      </c>
      <c r="CB24" s="29">
        <f t="shared" si="61"/>
        <v>0</v>
      </c>
      <c r="CC24" s="29">
        <f t="shared" si="62"/>
        <v>0</v>
      </c>
      <c r="CD24" s="29">
        <f t="shared" si="63"/>
        <v>0</v>
      </c>
      <c r="CE24" s="29">
        <f t="shared" si="64"/>
        <v>0</v>
      </c>
      <c r="CF24" s="29">
        <f t="shared" si="65"/>
        <v>0</v>
      </c>
      <c r="CG24" s="29">
        <f t="shared" si="66"/>
        <v>0</v>
      </c>
      <c r="CH24" s="29">
        <f t="shared" si="66"/>
        <v>0</v>
      </c>
      <c r="CI24" s="35"/>
      <c r="CJ24" s="45"/>
      <c r="CK24" s="45"/>
      <c r="CL24" s="45"/>
      <c r="CM24" s="35"/>
      <c r="CN24" s="35"/>
      <c r="CO24" s="35"/>
      <c r="DD24" s="45"/>
      <c r="DE24" s="35"/>
      <c r="DF24" s="35"/>
      <c r="DG24" s="35"/>
    </row>
    <row r="25" spans="1:113" ht="15" x14ac:dyDescent="0.25">
      <c r="A25" s="72" t="s">
        <v>66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Z25" s="74">
        <v>0</v>
      </c>
      <c r="AA25" s="74">
        <v>0</v>
      </c>
      <c r="AB25" s="74">
        <v>0</v>
      </c>
      <c r="AC25" s="74"/>
      <c r="AD25" s="32" t="s">
        <v>21</v>
      </c>
      <c r="AE25" s="13">
        <f t="shared" ref="AE25:BE25" si="71">((B$25/B$18)*$E$3)/278.4*(1/AE$4*1000)/2</f>
        <v>0</v>
      </c>
      <c r="AF25" s="13">
        <f t="shared" si="71"/>
        <v>0</v>
      </c>
      <c r="AG25" s="13">
        <f t="shared" si="71"/>
        <v>0</v>
      </c>
      <c r="AH25" s="13">
        <f t="shared" si="71"/>
        <v>0</v>
      </c>
      <c r="AI25" s="13">
        <f t="shared" si="71"/>
        <v>0</v>
      </c>
      <c r="AJ25" s="13">
        <f t="shared" si="71"/>
        <v>0</v>
      </c>
      <c r="AK25" s="13">
        <f t="shared" si="71"/>
        <v>0</v>
      </c>
      <c r="AL25" s="13">
        <f t="shared" si="71"/>
        <v>0</v>
      </c>
      <c r="AM25" s="13">
        <f t="shared" si="71"/>
        <v>0</v>
      </c>
      <c r="AN25" s="13">
        <f t="shared" si="71"/>
        <v>0</v>
      </c>
      <c r="AO25" s="13">
        <f t="shared" si="71"/>
        <v>0</v>
      </c>
      <c r="AP25" s="13">
        <f t="shared" si="71"/>
        <v>0</v>
      </c>
      <c r="AQ25" s="13">
        <f t="shared" si="71"/>
        <v>0</v>
      </c>
      <c r="AR25" s="13">
        <f t="shared" si="71"/>
        <v>0</v>
      </c>
      <c r="AS25" s="13">
        <f t="shared" si="71"/>
        <v>0</v>
      </c>
      <c r="AT25" s="13">
        <f t="shared" si="71"/>
        <v>0</v>
      </c>
      <c r="AU25" s="13">
        <f t="shared" si="71"/>
        <v>0</v>
      </c>
      <c r="AV25" s="13">
        <f t="shared" si="71"/>
        <v>0</v>
      </c>
      <c r="AW25" s="13">
        <f t="shared" si="71"/>
        <v>0</v>
      </c>
      <c r="AX25" s="13">
        <f t="shared" si="71"/>
        <v>0</v>
      </c>
      <c r="AY25" s="13">
        <f t="shared" si="71"/>
        <v>0</v>
      </c>
      <c r="AZ25" s="13">
        <f t="shared" si="71"/>
        <v>0</v>
      </c>
      <c r="BA25" s="13">
        <f t="shared" si="71"/>
        <v>0</v>
      </c>
      <c r="BB25" s="13">
        <f t="shared" si="71"/>
        <v>0</v>
      </c>
      <c r="BC25" s="13">
        <f t="shared" si="71"/>
        <v>0</v>
      </c>
      <c r="BD25" s="13">
        <f t="shared" si="71"/>
        <v>0</v>
      </c>
      <c r="BE25" s="13">
        <f t="shared" si="71"/>
        <v>0</v>
      </c>
      <c r="BG25" s="31" t="s">
        <v>22</v>
      </c>
      <c r="BH25" s="29">
        <f t="shared" si="41"/>
        <v>0</v>
      </c>
      <c r="BI25" s="29">
        <f t="shared" si="42"/>
        <v>0</v>
      </c>
      <c r="BJ25" s="29">
        <f t="shared" si="43"/>
        <v>0</v>
      </c>
      <c r="BK25" s="29">
        <f t="shared" si="44"/>
        <v>0</v>
      </c>
      <c r="BL25" s="29">
        <f t="shared" si="45"/>
        <v>0</v>
      </c>
      <c r="BM25" s="29">
        <f t="shared" si="46"/>
        <v>0</v>
      </c>
      <c r="BN25" s="29">
        <f t="shared" si="47"/>
        <v>0</v>
      </c>
      <c r="BO25" s="29">
        <f t="shared" si="48"/>
        <v>0</v>
      </c>
      <c r="BP25" s="29">
        <f t="shared" si="49"/>
        <v>0</v>
      </c>
      <c r="BQ25" s="29">
        <f t="shared" si="50"/>
        <v>0</v>
      </c>
      <c r="BR25" s="29">
        <f t="shared" si="51"/>
        <v>0</v>
      </c>
      <c r="BS25" s="29">
        <f t="shared" si="52"/>
        <v>0</v>
      </c>
      <c r="BT25" s="29">
        <f t="shared" si="53"/>
        <v>0</v>
      </c>
      <c r="BU25" s="29">
        <f t="shared" si="54"/>
        <v>0</v>
      </c>
      <c r="BV25" s="29">
        <f t="shared" si="55"/>
        <v>0</v>
      </c>
      <c r="BW25" s="29">
        <f t="shared" si="56"/>
        <v>0</v>
      </c>
      <c r="BX25" s="29">
        <f t="shared" si="57"/>
        <v>0</v>
      </c>
      <c r="BY25" s="29">
        <f t="shared" si="58"/>
        <v>0</v>
      </c>
      <c r="BZ25" s="29">
        <f t="shared" si="59"/>
        <v>0</v>
      </c>
      <c r="CA25" s="29">
        <f t="shared" si="60"/>
        <v>0</v>
      </c>
      <c r="CB25" s="29">
        <f t="shared" si="61"/>
        <v>0</v>
      </c>
      <c r="CC25" s="29">
        <f t="shared" si="62"/>
        <v>0</v>
      </c>
      <c r="CD25" s="29">
        <f t="shared" si="63"/>
        <v>0</v>
      </c>
      <c r="CE25" s="29">
        <f t="shared" si="64"/>
        <v>0</v>
      </c>
      <c r="CF25" s="29">
        <f t="shared" si="65"/>
        <v>0</v>
      </c>
      <c r="CG25" s="29">
        <f t="shared" si="66"/>
        <v>0</v>
      </c>
      <c r="CH25" s="29">
        <f t="shared" si="66"/>
        <v>0</v>
      </c>
      <c r="CI25" s="35"/>
      <c r="CJ25" s="45"/>
      <c r="CK25" s="45"/>
      <c r="CL25" s="45"/>
      <c r="CM25" s="35"/>
      <c r="CN25" s="35"/>
      <c r="CO25" s="35"/>
      <c r="DD25" s="45"/>
      <c r="DE25" s="35"/>
      <c r="DF25" s="35"/>
      <c r="DG25" s="35"/>
    </row>
    <row r="26" spans="1:113" ht="15" x14ac:dyDescent="0.25">
      <c r="A26" s="72" t="s">
        <v>67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  <c r="Z26" s="74">
        <v>0</v>
      </c>
      <c r="AA26" s="74">
        <v>0</v>
      </c>
      <c r="AB26" s="74">
        <v>0</v>
      </c>
      <c r="AC26" s="74"/>
      <c r="AD26" s="32" t="s">
        <v>23</v>
      </c>
      <c r="AE26" s="13">
        <f t="shared" ref="AE26:BE26" si="72">((B$26/B$18)*$E$3)/312.5*(1/AE$4*1000)/2</f>
        <v>0</v>
      </c>
      <c r="AF26" s="13">
        <f t="shared" si="72"/>
        <v>0</v>
      </c>
      <c r="AG26" s="13">
        <f t="shared" si="72"/>
        <v>0</v>
      </c>
      <c r="AH26" s="13">
        <f t="shared" si="72"/>
        <v>0</v>
      </c>
      <c r="AI26" s="13">
        <f t="shared" si="72"/>
        <v>0</v>
      </c>
      <c r="AJ26" s="13">
        <f t="shared" si="72"/>
        <v>0</v>
      </c>
      <c r="AK26" s="13">
        <f t="shared" si="72"/>
        <v>0</v>
      </c>
      <c r="AL26" s="13">
        <f t="shared" si="72"/>
        <v>0</v>
      </c>
      <c r="AM26" s="13">
        <f t="shared" si="72"/>
        <v>0</v>
      </c>
      <c r="AN26" s="13">
        <f t="shared" si="72"/>
        <v>0</v>
      </c>
      <c r="AO26" s="13">
        <f t="shared" si="72"/>
        <v>0</v>
      </c>
      <c r="AP26" s="13">
        <f t="shared" si="72"/>
        <v>0</v>
      </c>
      <c r="AQ26" s="13">
        <f t="shared" si="72"/>
        <v>0</v>
      </c>
      <c r="AR26" s="13">
        <f t="shared" si="72"/>
        <v>0</v>
      </c>
      <c r="AS26" s="13">
        <f t="shared" si="72"/>
        <v>0</v>
      </c>
      <c r="AT26" s="13">
        <f t="shared" si="72"/>
        <v>0</v>
      </c>
      <c r="AU26" s="13">
        <f t="shared" si="72"/>
        <v>0</v>
      </c>
      <c r="AV26" s="13">
        <f t="shared" si="72"/>
        <v>0</v>
      </c>
      <c r="AW26" s="13">
        <f t="shared" si="72"/>
        <v>0</v>
      </c>
      <c r="AX26" s="13">
        <f t="shared" si="72"/>
        <v>0</v>
      </c>
      <c r="AY26" s="13">
        <f t="shared" si="72"/>
        <v>0</v>
      </c>
      <c r="AZ26" s="13">
        <f t="shared" si="72"/>
        <v>0</v>
      </c>
      <c r="BA26" s="13">
        <f t="shared" si="72"/>
        <v>0</v>
      </c>
      <c r="BB26" s="13">
        <f t="shared" si="72"/>
        <v>0</v>
      </c>
      <c r="BC26" s="13">
        <f t="shared" si="72"/>
        <v>0</v>
      </c>
      <c r="BD26" s="13">
        <f t="shared" si="72"/>
        <v>0</v>
      </c>
      <c r="BE26" s="13">
        <f t="shared" si="72"/>
        <v>0</v>
      </c>
      <c r="BG26" s="27">
        <v>0.83333333333333337</v>
      </c>
      <c r="BH26" s="29">
        <f t="shared" si="41"/>
        <v>0</v>
      </c>
      <c r="BI26" s="29">
        <f t="shared" si="42"/>
        <v>0</v>
      </c>
      <c r="BJ26" s="29">
        <f t="shared" si="43"/>
        <v>0</v>
      </c>
      <c r="BK26" s="29">
        <f t="shared" si="44"/>
        <v>0</v>
      </c>
      <c r="BL26" s="29">
        <f t="shared" si="45"/>
        <v>0</v>
      </c>
      <c r="BM26" s="29">
        <f t="shared" si="46"/>
        <v>0</v>
      </c>
      <c r="BN26" s="29">
        <f t="shared" si="47"/>
        <v>0</v>
      </c>
      <c r="BO26" s="29">
        <f t="shared" si="48"/>
        <v>0</v>
      </c>
      <c r="BP26" s="29">
        <f t="shared" si="49"/>
        <v>0</v>
      </c>
      <c r="BQ26" s="29">
        <f t="shared" si="50"/>
        <v>0</v>
      </c>
      <c r="BR26" s="29">
        <f t="shared" si="51"/>
        <v>0</v>
      </c>
      <c r="BS26" s="29">
        <f t="shared" si="52"/>
        <v>0</v>
      </c>
      <c r="BT26" s="29">
        <f t="shared" si="53"/>
        <v>0</v>
      </c>
      <c r="BU26" s="29">
        <f t="shared" si="54"/>
        <v>0</v>
      </c>
      <c r="BV26" s="29">
        <f t="shared" si="55"/>
        <v>0</v>
      </c>
      <c r="BW26" s="29">
        <f t="shared" si="56"/>
        <v>0</v>
      </c>
      <c r="BX26" s="29">
        <f t="shared" si="57"/>
        <v>0</v>
      </c>
      <c r="BY26" s="29">
        <f t="shared" si="58"/>
        <v>0</v>
      </c>
      <c r="BZ26" s="29">
        <f t="shared" si="59"/>
        <v>0</v>
      </c>
      <c r="CA26" s="29">
        <f t="shared" si="60"/>
        <v>0</v>
      </c>
      <c r="CB26" s="29">
        <f t="shared" si="61"/>
        <v>0</v>
      </c>
      <c r="CC26" s="29">
        <f t="shared" si="62"/>
        <v>0</v>
      </c>
      <c r="CD26" s="29">
        <f t="shared" si="63"/>
        <v>0</v>
      </c>
      <c r="CE26" s="29">
        <f t="shared" si="64"/>
        <v>0</v>
      </c>
      <c r="CF26" s="29">
        <f t="shared" si="65"/>
        <v>0</v>
      </c>
      <c r="CG26" s="29">
        <f t="shared" si="66"/>
        <v>0</v>
      </c>
      <c r="CH26" s="29">
        <f t="shared" si="66"/>
        <v>0</v>
      </c>
      <c r="CI26" s="34"/>
      <c r="CJ26" s="45"/>
      <c r="CK26" s="45"/>
      <c r="CL26" s="45"/>
      <c r="CM26" s="35"/>
      <c r="CN26" s="35"/>
      <c r="CO26" s="35"/>
      <c r="DD26" s="45"/>
      <c r="DE26" s="35"/>
      <c r="DF26" s="35"/>
      <c r="DG26" s="35"/>
    </row>
    <row r="27" spans="1:113" ht="15" x14ac:dyDescent="0.25">
      <c r="A27" s="72" t="s">
        <v>68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  <c r="Z27" s="74">
        <v>0</v>
      </c>
      <c r="AA27" s="74">
        <v>0</v>
      </c>
      <c r="AB27" s="74">
        <v>0</v>
      </c>
      <c r="AC27" s="74"/>
      <c r="AD27" s="32" t="s">
        <v>24</v>
      </c>
      <c r="AE27" s="13">
        <f t="shared" ref="AE27:BE27" si="73">((B$27/B$18)*$E$3)/310.5*(1/AE$4*1000)/2</f>
        <v>0</v>
      </c>
      <c r="AF27" s="13">
        <f t="shared" si="73"/>
        <v>0</v>
      </c>
      <c r="AG27" s="13">
        <f t="shared" si="73"/>
        <v>0</v>
      </c>
      <c r="AH27" s="13">
        <f t="shared" si="73"/>
        <v>0</v>
      </c>
      <c r="AI27" s="13">
        <f t="shared" si="73"/>
        <v>0</v>
      </c>
      <c r="AJ27" s="13">
        <f t="shared" si="73"/>
        <v>0</v>
      </c>
      <c r="AK27" s="13">
        <f t="shared" si="73"/>
        <v>0</v>
      </c>
      <c r="AL27" s="13">
        <f t="shared" si="73"/>
        <v>0</v>
      </c>
      <c r="AM27" s="13">
        <f t="shared" si="73"/>
        <v>0</v>
      </c>
      <c r="AN27" s="13">
        <f t="shared" si="73"/>
        <v>0</v>
      </c>
      <c r="AO27" s="13">
        <f t="shared" si="73"/>
        <v>0</v>
      </c>
      <c r="AP27" s="13">
        <f t="shared" si="73"/>
        <v>0</v>
      </c>
      <c r="AQ27" s="13">
        <f t="shared" si="73"/>
        <v>0</v>
      </c>
      <c r="AR27" s="13">
        <f t="shared" si="73"/>
        <v>0</v>
      </c>
      <c r="AS27" s="13">
        <f t="shared" si="73"/>
        <v>0</v>
      </c>
      <c r="AT27" s="13">
        <f t="shared" si="73"/>
        <v>0</v>
      </c>
      <c r="AU27" s="13">
        <f t="shared" si="73"/>
        <v>0</v>
      </c>
      <c r="AV27" s="13">
        <f t="shared" si="73"/>
        <v>0</v>
      </c>
      <c r="AW27" s="13">
        <f t="shared" si="73"/>
        <v>0</v>
      </c>
      <c r="AX27" s="13">
        <f t="shared" si="73"/>
        <v>0</v>
      </c>
      <c r="AY27" s="13">
        <f t="shared" si="73"/>
        <v>0</v>
      </c>
      <c r="AZ27" s="13">
        <f t="shared" si="73"/>
        <v>0</v>
      </c>
      <c r="BA27" s="13">
        <f t="shared" si="73"/>
        <v>0</v>
      </c>
      <c r="BB27" s="13">
        <f t="shared" si="73"/>
        <v>0</v>
      </c>
      <c r="BC27" s="13">
        <f t="shared" si="73"/>
        <v>0</v>
      </c>
      <c r="BD27" s="13">
        <f t="shared" si="73"/>
        <v>0</v>
      </c>
      <c r="BE27" s="13">
        <f t="shared" si="73"/>
        <v>0</v>
      </c>
      <c r="BG27" s="27">
        <v>0.8340277777777777</v>
      </c>
      <c r="BH27" s="29">
        <f t="shared" si="41"/>
        <v>0</v>
      </c>
      <c r="BI27" s="29">
        <f t="shared" si="42"/>
        <v>0</v>
      </c>
      <c r="BJ27" s="29">
        <f t="shared" si="43"/>
        <v>0</v>
      </c>
      <c r="BK27" s="29">
        <f t="shared" si="44"/>
        <v>0</v>
      </c>
      <c r="BL27" s="29">
        <f t="shared" si="45"/>
        <v>0</v>
      </c>
      <c r="BM27" s="29">
        <f t="shared" si="46"/>
        <v>0</v>
      </c>
      <c r="BN27" s="29">
        <f t="shared" si="47"/>
        <v>0</v>
      </c>
      <c r="BO27" s="29">
        <f t="shared" si="48"/>
        <v>0</v>
      </c>
      <c r="BP27" s="29">
        <f t="shared" si="49"/>
        <v>0</v>
      </c>
      <c r="BQ27" s="29">
        <f t="shared" si="50"/>
        <v>0</v>
      </c>
      <c r="BR27" s="29">
        <f t="shared" si="51"/>
        <v>0</v>
      </c>
      <c r="BS27" s="29">
        <f t="shared" si="52"/>
        <v>0</v>
      </c>
      <c r="BT27" s="29">
        <f t="shared" si="53"/>
        <v>0</v>
      </c>
      <c r="BU27" s="29">
        <f t="shared" si="54"/>
        <v>0</v>
      </c>
      <c r="BV27" s="29">
        <f t="shared" si="55"/>
        <v>0</v>
      </c>
      <c r="BW27" s="29">
        <f t="shared" si="56"/>
        <v>0</v>
      </c>
      <c r="BX27" s="29">
        <f t="shared" si="57"/>
        <v>0</v>
      </c>
      <c r="BY27" s="29">
        <f t="shared" si="58"/>
        <v>0</v>
      </c>
      <c r="BZ27" s="29">
        <f t="shared" si="59"/>
        <v>0</v>
      </c>
      <c r="CA27" s="29">
        <f t="shared" si="60"/>
        <v>0</v>
      </c>
      <c r="CB27" s="29">
        <f t="shared" si="61"/>
        <v>0</v>
      </c>
      <c r="CC27" s="29">
        <f t="shared" si="62"/>
        <v>0</v>
      </c>
      <c r="CD27" s="29">
        <f t="shared" si="63"/>
        <v>0</v>
      </c>
      <c r="CE27" s="29">
        <f t="shared" si="64"/>
        <v>0</v>
      </c>
      <c r="CF27" s="29">
        <f t="shared" si="65"/>
        <v>0</v>
      </c>
      <c r="CG27" s="29">
        <f t="shared" si="66"/>
        <v>0</v>
      </c>
      <c r="CH27" s="29">
        <f t="shared" si="66"/>
        <v>0</v>
      </c>
      <c r="CI27" s="45"/>
      <c r="CJ27" s="45"/>
      <c r="CK27" s="45"/>
      <c r="CL27" s="45"/>
      <c r="CM27" s="35"/>
      <c r="CN27" s="35"/>
      <c r="CO27" s="35"/>
      <c r="DD27" s="45"/>
      <c r="DE27" s="35"/>
      <c r="DF27" s="35"/>
      <c r="DG27" s="35"/>
    </row>
    <row r="28" spans="1:113" ht="15" x14ac:dyDescent="0.25">
      <c r="A28" s="72" t="s">
        <v>69</v>
      </c>
      <c r="B28" s="74">
        <v>891.40160000000003</v>
      </c>
      <c r="C28" s="74">
        <v>695.19970000000001</v>
      </c>
      <c r="D28" s="74">
        <v>696.75919999999996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 t="s">
        <v>205</v>
      </c>
      <c r="L28" s="74" t="s">
        <v>206</v>
      </c>
      <c r="M28" s="74" t="s">
        <v>207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  <c r="Z28" s="74">
        <v>0</v>
      </c>
      <c r="AA28" s="74">
        <v>0</v>
      </c>
      <c r="AB28" s="74">
        <v>0</v>
      </c>
      <c r="AC28" s="74"/>
      <c r="AD28" s="32" t="s">
        <v>25</v>
      </c>
      <c r="AE28" s="13">
        <f t="shared" ref="AE28:BE28" si="74">((B$28/B$18)*$E$3)/308.5*(1/AE$4*1000)/2</f>
        <v>23.12310537851025</v>
      </c>
      <c r="AF28" s="13">
        <f t="shared" si="74"/>
        <v>20.776074455069807</v>
      </c>
      <c r="AG28" s="13">
        <f t="shared" si="74"/>
        <v>20.118996288286695</v>
      </c>
      <c r="AH28" s="13">
        <f t="shared" si="74"/>
        <v>0</v>
      </c>
      <c r="AI28" s="13">
        <f t="shared" si="74"/>
        <v>0</v>
      </c>
      <c r="AJ28" s="13">
        <f t="shared" si="74"/>
        <v>0</v>
      </c>
      <c r="AK28" s="13">
        <f t="shared" si="74"/>
        <v>0</v>
      </c>
      <c r="AL28" s="13">
        <f t="shared" si="74"/>
        <v>0</v>
      </c>
      <c r="AM28" s="13">
        <f t="shared" si="74"/>
        <v>0</v>
      </c>
      <c r="AN28" s="13">
        <f t="shared" si="74"/>
        <v>36.780655326476136</v>
      </c>
      <c r="AO28" s="13">
        <f t="shared" si="74"/>
        <v>50.023183356959869</v>
      </c>
      <c r="AP28" s="13">
        <f t="shared" si="74"/>
        <v>47.661040960249089</v>
      </c>
      <c r="AQ28" s="13">
        <f t="shared" si="74"/>
        <v>0</v>
      </c>
      <c r="AR28" s="13">
        <f t="shared" si="74"/>
        <v>0</v>
      </c>
      <c r="AS28" s="13">
        <f t="shared" si="74"/>
        <v>0</v>
      </c>
      <c r="AT28" s="13">
        <f t="shared" si="74"/>
        <v>0</v>
      </c>
      <c r="AU28" s="13">
        <f t="shared" si="74"/>
        <v>0</v>
      </c>
      <c r="AV28" s="13">
        <f t="shared" si="74"/>
        <v>0</v>
      </c>
      <c r="AW28" s="13">
        <f t="shared" si="74"/>
        <v>0</v>
      </c>
      <c r="AX28" s="13">
        <f t="shared" si="74"/>
        <v>0</v>
      </c>
      <c r="AY28" s="13">
        <f t="shared" si="74"/>
        <v>0</v>
      </c>
      <c r="AZ28" s="13">
        <f t="shared" si="74"/>
        <v>0</v>
      </c>
      <c r="BA28" s="13">
        <f t="shared" si="74"/>
        <v>0</v>
      </c>
      <c r="BB28" s="13">
        <f t="shared" si="74"/>
        <v>0</v>
      </c>
      <c r="BC28" s="13">
        <f t="shared" si="74"/>
        <v>0</v>
      </c>
      <c r="BD28" s="13">
        <f t="shared" si="74"/>
        <v>0</v>
      </c>
      <c r="BE28" s="13">
        <f t="shared" si="74"/>
        <v>0</v>
      </c>
      <c r="BG28" s="27">
        <v>0.83472222222222225</v>
      </c>
      <c r="BH28" s="29">
        <f t="shared" si="41"/>
        <v>2.0126800184426896</v>
      </c>
      <c r="BI28" s="29">
        <f t="shared" si="42"/>
        <v>2.0017545814170532</v>
      </c>
      <c r="BJ28" s="29">
        <f t="shared" si="43"/>
        <v>1.9641017631567639</v>
      </c>
      <c r="BK28" s="29">
        <f t="shared" si="44"/>
        <v>0</v>
      </c>
      <c r="BL28" s="29">
        <f t="shared" si="45"/>
        <v>0</v>
      </c>
      <c r="BM28" s="29">
        <f t="shared" si="46"/>
        <v>0</v>
      </c>
      <c r="BN28" s="29">
        <f t="shared" si="47"/>
        <v>0</v>
      </c>
      <c r="BO28" s="29">
        <f t="shared" si="48"/>
        <v>0</v>
      </c>
      <c r="BP28" s="29">
        <f t="shared" si="49"/>
        <v>0</v>
      </c>
      <c r="BQ28" s="29">
        <f t="shared" si="50"/>
        <v>2.9656080093111621</v>
      </c>
      <c r="BR28" s="29">
        <f t="shared" si="51"/>
        <v>3.7471464693567555</v>
      </c>
      <c r="BS28" s="29">
        <f t="shared" si="52"/>
        <v>3.3601062454659631</v>
      </c>
      <c r="BT28" s="29">
        <f t="shared" si="53"/>
        <v>0</v>
      </c>
      <c r="BU28" s="29">
        <f t="shared" si="54"/>
        <v>0</v>
      </c>
      <c r="BV28" s="29">
        <f t="shared" si="55"/>
        <v>0</v>
      </c>
      <c r="BW28" s="29">
        <f t="shared" si="56"/>
        <v>0</v>
      </c>
      <c r="BX28" s="29">
        <f t="shared" si="57"/>
        <v>0</v>
      </c>
      <c r="BY28" s="29">
        <f t="shared" si="58"/>
        <v>0</v>
      </c>
      <c r="BZ28" s="29">
        <f t="shared" si="59"/>
        <v>0</v>
      </c>
      <c r="CA28" s="29">
        <f t="shared" si="60"/>
        <v>0</v>
      </c>
      <c r="CB28" s="29">
        <f t="shared" si="61"/>
        <v>0</v>
      </c>
      <c r="CC28" s="29">
        <f t="shared" si="62"/>
        <v>0</v>
      </c>
      <c r="CD28" s="29">
        <f t="shared" si="63"/>
        <v>0</v>
      </c>
      <c r="CE28" s="29">
        <f t="shared" si="64"/>
        <v>0</v>
      </c>
      <c r="CF28" s="29">
        <f t="shared" si="65"/>
        <v>0</v>
      </c>
      <c r="CG28" s="29">
        <f t="shared" si="66"/>
        <v>0</v>
      </c>
      <c r="CH28" s="29">
        <f t="shared" si="66"/>
        <v>0</v>
      </c>
      <c r="CI28" s="45"/>
      <c r="CJ28" s="35"/>
      <c r="CK28" s="35"/>
      <c r="CL28" s="35"/>
      <c r="CM28" s="35"/>
      <c r="CN28" s="35"/>
      <c r="CO28" s="35"/>
      <c r="DD28" s="35"/>
      <c r="DE28" s="35"/>
      <c r="DF28" s="35"/>
      <c r="DG28" s="35"/>
    </row>
    <row r="29" spans="1:113" ht="15" x14ac:dyDescent="0.25">
      <c r="A29" s="72" t="s">
        <v>26</v>
      </c>
      <c r="B29" s="74">
        <v>393.85599999999999</v>
      </c>
      <c r="C29" s="74">
        <v>0</v>
      </c>
      <c r="D29" s="74">
        <v>364.0018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 t="s">
        <v>208</v>
      </c>
      <c r="L29" s="74" t="s">
        <v>209</v>
      </c>
      <c r="M29" s="74" t="s">
        <v>210</v>
      </c>
      <c r="N29" s="74" t="s">
        <v>211</v>
      </c>
      <c r="O29" s="74" t="s">
        <v>212</v>
      </c>
      <c r="P29" s="74" t="s">
        <v>213</v>
      </c>
      <c r="Q29" s="74" t="s">
        <v>214</v>
      </c>
      <c r="R29" s="74" t="s">
        <v>215</v>
      </c>
      <c r="S29" s="74" t="s">
        <v>216</v>
      </c>
      <c r="T29" s="74" t="s">
        <v>217</v>
      </c>
      <c r="U29" s="74" t="s">
        <v>218</v>
      </c>
      <c r="V29" s="74" t="s">
        <v>219</v>
      </c>
      <c r="W29" s="74" t="s">
        <v>220</v>
      </c>
      <c r="X29" s="74" t="s">
        <v>221</v>
      </c>
      <c r="Y29" s="74" t="s">
        <v>222</v>
      </c>
      <c r="Z29" s="74" t="s">
        <v>223</v>
      </c>
      <c r="AA29" s="74" t="s">
        <v>224</v>
      </c>
      <c r="AB29" s="74" t="s">
        <v>225</v>
      </c>
      <c r="AC29" s="74"/>
      <c r="AD29" s="32" t="s">
        <v>27</v>
      </c>
      <c r="AE29" s="13">
        <f t="shared" ref="AE29:BE29" si="75">((B$29/B$18)*$E$3)/306.4*(1/AE$4*1000)/2</f>
        <v>10.286712982442303</v>
      </c>
      <c r="AF29" s="13">
        <f t="shared" si="75"/>
        <v>0</v>
      </c>
      <c r="AG29" s="13">
        <f t="shared" si="75"/>
        <v>10.582628176308093</v>
      </c>
      <c r="AH29" s="13">
        <f t="shared" si="75"/>
        <v>0</v>
      </c>
      <c r="AI29" s="13">
        <f t="shared" si="75"/>
        <v>0</v>
      </c>
      <c r="AJ29" s="13">
        <f t="shared" si="75"/>
        <v>0</v>
      </c>
      <c r="AK29" s="13">
        <f t="shared" si="75"/>
        <v>0</v>
      </c>
      <c r="AL29" s="13">
        <f t="shared" si="75"/>
        <v>0</v>
      </c>
      <c r="AM29" s="13">
        <f t="shared" si="75"/>
        <v>0</v>
      </c>
      <c r="AN29" s="13">
        <f t="shared" si="75"/>
        <v>119.67061317448636</v>
      </c>
      <c r="AO29" s="13">
        <f t="shared" si="75"/>
        <v>124.14527782672332</v>
      </c>
      <c r="AP29" s="13">
        <f t="shared" si="75"/>
        <v>128.92650834333188</v>
      </c>
      <c r="AQ29" s="13">
        <f t="shared" si="75"/>
        <v>155.69086044247956</v>
      </c>
      <c r="AR29" s="13">
        <f t="shared" si="75"/>
        <v>152.52686557723399</v>
      </c>
      <c r="AS29" s="13">
        <f t="shared" si="75"/>
        <v>129.20350414546877</v>
      </c>
      <c r="AT29" s="13">
        <f t="shared" si="75"/>
        <v>151.52731388044057</v>
      </c>
      <c r="AU29" s="13">
        <f t="shared" si="75"/>
        <v>202.18350856935939</v>
      </c>
      <c r="AV29" s="13">
        <f t="shared" si="75"/>
        <v>192.30632384007021</v>
      </c>
      <c r="AW29" s="13">
        <f t="shared" si="75"/>
        <v>196.57481821012462</v>
      </c>
      <c r="AX29" s="13">
        <f t="shared" si="75"/>
        <v>258.54850602336484</v>
      </c>
      <c r="AY29" s="13">
        <f t="shared" si="75"/>
        <v>209.23388412628842</v>
      </c>
      <c r="AZ29" s="13">
        <f t="shared" si="75"/>
        <v>194.14399412037002</v>
      </c>
      <c r="BA29" s="13">
        <f t="shared" si="75"/>
        <v>223.63258677848248</v>
      </c>
      <c r="BB29" s="13">
        <f t="shared" si="75"/>
        <v>224.34462479514556</v>
      </c>
      <c r="BC29" s="13">
        <f t="shared" si="75"/>
        <v>220.38312182179993</v>
      </c>
      <c r="BD29" s="13">
        <f t="shared" si="75"/>
        <v>259.60130091691713</v>
      </c>
      <c r="BE29" s="13">
        <f t="shared" si="75"/>
        <v>288.4154296353999</v>
      </c>
      <c r="BG29" s="31" t="s">
        <v>26</v>
      </c>
      <c r="BH29" s="29">
        <f t="shared" si="41"/>
        <v>0.89537548423137081</v>
      </c>
      <c r="BI29" s="29">
        <f t="shared" si="42"/>
        <v>0</v>
      </c>
      <c r="BJ29" s="29">
        <f t="shared" si="43"/>
        <v>1.0331210544544132</v>
      </c>
      <c r="BK29" s="29">
        <f t="shared" si="44"/>
        <v>0</v>
      </c>
      <c r="BL29" s="29">
        <f t="shared" si="45"/>
        <v>0</v>
      </c>
      <c r="BM29" s="29">
        <f t="shared" si="46"/>
        <v>0</v>
      </c>
      <c r="BN29" s="29">
        <f t="shared" si="47"/>
        <v>0</v>
      </c>
      <c r="BO29" s="29">
        <f t="shared" si="48"/>
        <v>0</v>
      </c>
      <c r="BP29" s="29">
        <f t="shared" si="49"/>
        <v>0</v>
      </c>
      <c r="BQ29" s="29">
        <f t="shared" si="50"/>
        <v>9.648988734955104</v>
      </c>
      <c r="BR29" s="29">
        <f t="shared" si="51"/>
        <v>9.2994989178551837</v>
      </c>
      <c r="BS29" s="29">
        <f t="shared" si="52"/>
        <v>9.0893265686718436</v>
      </c>
      <c r="BT29" s="29">
        <f t="shared" si="53"/>
        <v>12.155324009856688</v>
      </c>
      <c r="BU29" s="29">
        <f t="shared" si="54"/>
        <v>12.277353834516335</v>
      </c>
      <c r="BV29" s="29">
        <f t="shared" si="55"/>
        <v>11.648585137711475</v>
      </c>
      <c r="BW29" s="29">
        <f t="shared" si="56"/>
        <v>13.262187923799877</v>
      </c>
      <c r="BX29" s="29">
        <f t="shared" si="57"/>
        <v>13.979104324832617</v>
      </c>
      <c r="BY29" s="29">
        <f t="shared" si="58"/>
        <v>14.320814032503895</v>
      </c>
      <c r="BZ29" s="29">
        <f t="shared" si="59"/>
        <v>14.676221908928712</v>
      </c>
      <c r="CA29" s="29">
        <f t="shared" si="60"/>
        <v>15.101877629275993</v>
      </c>
      <c r="CB29" s="29">
        <f t="shared" si="61"/>
        <v>14.453059568177542</v>
      </c>
      <c r="CC29" s="29">
        <f t="shared" si="62"/>
        <v>14.376301738093005</v>
      </c>
      <c r="CD29" s="29">
        <f t="shared" si="63"/>
        <v>14.66596631624661</v>
      </c>
      <c r="CE29" s="29">
        <f t="shared" si="64"/>
        <v>14.429734706920664</v>
      </c>
      <c r="CF29" s="29">
        <f t="shared" si="65"/>
        <v>15.596179925954756</v>
      </c>
      <c r="CG29" s="29">
        <f t="shared" si="66"/>
        <v>15.946291781304623</v>
      </c>
      <c r="CH29" s="29">
        <f t="shared" si="66"/>
        <v>16.147612898190978</v>
      </c>
      <c r="CI29" s="45"/>
      <c r="CJ29" s="35"/>
      <c r="CK29" s="35"/>
      <c r="CL29" s="35"/>
      <c r="CM29" s="35"/>
      <c r="CN29" s="35"/>
      <c r="CO29" s="35"/>
      <c r="DD29" s="35"/>
      <c r="DE29" s="35"/>
      <c r="DF29" s="35"/>
      <c r="DG29" s="35"/>
    </row>
    <row r="30" spans="1:113" ht="15" x14ac:dyDescent="0.25">
      <c r="A30" s="72" t="s">
        <v>70</v>
      </c>
      <c r="B30" s="74">
        <v>0</v>
      </c>
      <c r="C30" s="74">
        <v>0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  <c r="Z30" s="74">
        <v>0</v>
      </c>
      <c r="AA30" s="74">
        <v>0</v>
      </c>
      <c r="AB30" s="74">
        <v>0</v>
      </c>
      <c r="AC30" s="74"/>
      <c r="AD30" s="32" t="s">
        <v>27</v>
      </c>
      <c r="AE30" s="13">
        <f t="shared" ref="AE30:BE30" si="76">((B$30/B$18)*$E$3)/306.4*(1/AE$4*1000)/2</f>
        <v>0</v>
      </c>
      <c r="AF30" s="13">
        <f t="shared" si="76"/>
        <v>0</v>
      </c>
      <c r="AG30" s="13">
        <f t="shared" si="76"/>
        <v>0</v>
      </c>
      <c r="AH30" s="13">
        <f t="shared" si="76"/>
        <v>0</v>
      </c>
      <c r="AI30" s="13">
        <f t="shared" si="76"/>
        <v>0</v>
      </c>
      <c r="AJ30" s="13">
        <f t="shared" si="76"/>
        <v>0</v>
      </c>
      <c r="AK30" s="13">
        <f t="shared" si="76"/>
        <v>0</v>
      </c>
      <c r="AL30" s="13">
        <f t="shared" si="76"/>
        <v>0</v>
      </c>
      <c r="AM30" s="13">
        <f t="shared" si="76"/>
        <v>0</v>
      </c>
      <c r="AN30" s="13">
        <f t="shared" si="76"/>
        <v>0</v>
      </c>
      <c r="AO30" s="13">
        <f t="shared" si="76"/>
        <v>0</v>
      </c>
      <c r="AP30" s="13">
        <f t="shared" si="76"/>
        <v>0</v>
      </c>
      <c r="AQ30" s="13">
        <f t="shared" si="76"/>
        <v>0</v>
      </c>
      <c r="AR30" s="13">
        <f t="shared" si="76"/>
        <v>0</v>
      </c>
      <c r="AS30" s="13">
        <f t="shared" si="76"/>
        <v>0</v>
      </c>
      <c r="AT30" s="13">
        <f t="shared" si="76"/>
        <v>0</v>
      </c>
      <c r="AU30" s="13">
        <f t="shared" si="76"/>
        <v>0</v>
      </c>
      <c r="AV30" s="13">
        <f t="shared" si="76"/>
        <v>0</v>
      </c>
      <c r="AW30" s="13">
        <f t="shared" si="76"/>
        <v>0</v>
      </c>
      <c r="AX30" s="13">
        <f t="shared" si="76"/>
        <v>0</v>
      </c>
      <c r="AY30" s="13">
        <f t="shared" si="76"/>
        <v>0</v>
      </c>
      <c r="AZ30" s="13">
        <f t="shared" si="76"/>
        <v>0</v>
      </c>
      <c r="BA30" s="13">
        <f t="shared" si="76"/>
        <v>0</v>
      </c>
      <c r="BB30" s="13">
        <f t="shared" si="76"/>
        <v>0</v>
      </c>
      <c r="BC30" s="13">
        <f t="shared" si="76"/>
        <v>0</v>
      </c>
      <c r="BD30" s="13">
        <f t="shared" si="76"/>
        <v>0</v>
      </c>
      <c r="BE30" s="13">
        <f t="shared" si="76"/>
        <v>0</v>
      </c>
      <c r="BG30" s="27">
        <v>0.8354166666666667</v>
      </c>
      <c r="BH30" s="29">
        <f t="shared" si="41"/>
        <v>0</v>
      </c>
      <c r="BI30" s="29">
        <f t="shared" si="42"/>
        <v>0</v>
      </c>
      <c r="BJ30" s="29">
        <f t="shared" si="43"/>
        <v>0</v>
      </c>
      <c r="BK30" s="29">
        <f t="shared" si="44"/>
        <v>0</v>
      </c>
      <c r="BL30" s="29">
        <f t="shared" si="45"/>
        <v>0</v>
      </c>
      <c r="BM30" s="29">
        <f t="shared" si="46"/>
        <v>0</v>
      </c>
      <c r="BN30" s="29">
        <f t="shared" si="47"/>
        <v>0</v>
      </c>
      <c r="BO30" s="29">
        <f t="shared" si="48"/>
        <v>0</v>
      </c>
      <c r="BP30" s="29">
        <f t="shared" si="49"/>
        <v>0</v>
      </c>
      <c r="BQ30" s="29">
        <f t="shared" si="50"/>
        <v>0</v>
      </c>
      <c r="BR30" s="29">
        <f t="shared" si="51"/>
        <v>0</v>
      </c>
      <c r="BS30" s="29">
        <f t="shared" si="52"/>
        <v>0</v>
      </c>
      <c r="BT30" s="29">
        <f t="shared" si="53"/>
        <v>0</v>
      </c>
      <c r="BU30" s="29">
        <f t="shared" si="54"/>
        <v>0</v>
      </c>
      <c r="BV30" s="29">
        <f t="shared" si="55"/>
        <v>0</v>
      </c>
      <c r="BW30" s="29">
        <f t="shared" si="56"/>
        <v>0</v>
      </c>
      <c r="BX30" s="29">
        <f t="shared" si="57"/>
        <v>0</v>
      </c>
      <c r="BY30" s="29">
        <f t="shared" si="58"/>
        <v>0</v>
      </c>
      <c r="BZ30" s="29">
        <f t="shared" si="59"/>
        <v>0</v>
      </c>
      <c r="CA30" s="29">
        <f t="shared" si="60"/>
        <v>0</v>
      </c>
      <c r="CB30" s="29">
        <f t="shared" si="61"/>
        <v>0</v>
      </c>
      <c r="CC30" s="29">
        <f t="shared" si="62"/>
        <v>0</v>
      </c>
      <c r="CD30" s="29">
        <f t="shared" si="63"/>
        <v>0</v>
      </c>
      <c r="CE30" s="29">
        <f t="shared" si="64"/>
        <v>0</v>
      </c>
      <c r="CF30" s="29">
        <f t="shared" si="65"/>
        <v>0</v>
      </c>
      <c r="CG30" s="29">
        <f t="shared" si="66"/>
        <v>0</v>
      </c>
      <c r="CH30" s="29">
        <f t="shared" si="66"/>
        <v>0</v>
      </c>
      <c r="CI30" s="45"/>
      <c r="CJ30" s="46"/>
      <c r="CK30" s="46"/>
      <c r="CL30" s="46"/>
      <c r="CM30" s="46"/>
      <c r="CN30" s="35"/>
      <c r="CO30" s="35"/>
      <c r="DD30" s="46"/>
      <c r="DE30" s="46"/>
      <c r="DF30" s="35"/>
      <c r="DG30" s="35"/>
    </row>
    <row r="31" spans="1:113" ht="15" x14ac:dyDescent="0.25">
      <c r="A31" s="72" t="s">
        <v>71</v>
      </c>
      <c r="B31" s="74">
        <v>2198.7858999999999</v>
      </c>
      <c r="C31" s="74">
        <v>1757.1146000000001</v>
      </c>
      <c r="D31" s="74">
        <v>1731.3045999999999</v>
      </c>
      <c r="E31" s="74">
        <v>910.51189999999997</v>
      </c>
      <c r="F31" s="74">
        <v>872.60019999999997</v>
      </c>
      <c r="G31" s="74">
        <v>1046.8848</v>
      </c>
      <c r="H31" s="74">
        <v>947.16229999999996</v>
      </c>
      <c r="I31" s="74">
        <v>1090.3805</v>
      </c>
      <c r="J31" s="74">
        <v>1148.8748000000001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  <c r="Z31" s="74">
        <v>0</v>
      </c>
      <c r="AA31" s="74">
        <v>0</v>
      </c>
      <c r="AB31" s="74">
        <v>0</v>
      </c>
      <c r="AC31" s="74"/>
      <c r="AD31" s="32" t="s">
        <v>28</v>
      </c>
      <c r="AE31" s="13">
        <f t="shared" ref="AE31:BE31" si="77">((B$31/B$18)*$E$3)/304.4*(1/AE$4*1000)/2</f>
        <v>57.805107438314508</v>
      </c>
      <c r="AF31" s="13">
        <f t="shared" si="77"/>
        <v>53.218732225428361</v>
      </c>
      <c r="AG31" s="13">
        <f t="shared" si="77"/>
        <v>50.664948072665723</v>
      </c>
      <c r="AH31" s="13">
        <f t="shared" si="77"/>
        <v>115.96439662874083</v>
      </c>
      <c r="AI31" s="13">
        <f t="shared" si="77"/>
        <v>117.90674574606078</v>
      </c>
      <c r="AJ31" s="13">
        <f t="shared" si="77"/>
        <v>123.55670638019079</v>
      </c>
      <c r="AK31" s="13">
        <f t="shared" si="77"/>
        <v>109.85796347630861</v>
      </c>
      <c r="AL31" s="13">
        <f t="shared" si="77"/>
        <v>129.73602936280693</v>
      </c>
      <c r="AM31" s="13">
        <f t="shared" si="77"/>
        <v>123.88779324350845</v>
      </c>
      <c r="AN31" s="13">
        <f t="shared" si="77"/>
        <v>0</v>
      </c>
      <c r="AO31" s="13">
        <f t="shared" si="77"/>
        <v>0</v>
      </c>
      <c r="AP31" s="13">
        <f t="shared" si="77"/>
        <v>0</v>
      </c>
      <c r="AQ31" s="13">
        <f t="shared" si="77"/>
        <v>0</v>
      </c>
      <c r="AR31" s="13">
        <f t="shared" si="77"/>
        <v>0</v>
      </c>
      <c r="AS31" s="13">
        <f t="shared" si="77"/>
        <v>0</v>
      </c>
      <c r="AT31" s="13">
        <f t="shared" si="77"/>
        <v>0</v>
      </c>
      <c r="AU31" s="13">
        <f t="shared" si="77"/>
        <v>0</v>
      </c>
      <c r="AV31" s="13">
        <f t="shared" si="77"/>
        <v>0</v>
      </c>
      <c r="AW31" s="13">
        <f t="shared" si="77"/>
        <v>0</v>
      </c>
      <c r="AX31" s="13">
        <f t="shared" si="77"/>
        <v>0</v>
      </c>
      <c r="AY31" s="13">
        <f t="shared" si="77"/>
        <v>0</v>
      </c>
      <c r="AZ31" s="13">
        <f t="shared" si="77"/>
        <v>0</v>
      </c>
      <c r="BA31" s="13">
        <f t="shared" si="77"/>
        <v>0</v>
      </c>
      <c r="BB31" s="13">
        <f t="shared" si="77"/>
        <v>0</v>
      </c>
      <c r="BC31" s="13">
        <f t="shared" si="77"/>
        <v>0</v>
      </c>
      <c r="BD31" s="13">
        <f t="shared" si="77"/>
        <v>0</v>
      </c>
      <c r="BE31" s="13">
        <f t="shared" si="77"/>
        <v>0</v>
      </c>
      <c r="BG31" s="27">
        <v>0.83611111111111114</v>
      </c>
      <c r="BH31" s="29">
        <f t="shared" si="41"/>
        <v>5.0314688620133836</v>
      </c>
      <c r="BI31" s="29">
        <f t="shared" si="42"/>
        <v>5.1275731264749478</v>
      </c>
      <c r="BJ31" s="29">
        <f t="shared" si="43"/>
        <v>4.9461271533562599</v>
      </c>
      <c r="BK31" s="29">
        <f t="shared" si="44"/>
        <v>10.52759158954874</v>
      </c>
      <c r="BL31" s="29">
        <f t="shared" si="45"/>
        <v>10.39302635462769</v>
      </c>
      <c r="BM31" s="29">
        <f t="shared" si="46"/>
        <v>10.519309316296422</v>
      </c>
      <c r="BN31" s="29">
        <f t="shared" si="47"/>
        <v>10.306606699792443</v>
      </c>
      <c r="BO31" s="29">
        <f t="shared" si="48"/>
        <v>10.800575451052694</v>
      </c>
      <c r="BP31" s="29">
        <f t="shared" si="49"/>
        <v>10.428699069010861</v>
      </c>
      <c r="BQ31" s="29">
        <f t="shared" si="50"/>
        <v>0</v>
      </c>
      <c r="BR31" s="29">
        <f t="shared" si="51"/>
        <v>0</v>
      </c>
      <c r="BS31" s="29">
        <f t="shared" si="52"/>
        <v>0</v>
      </c>
      <c r="BT31" s="29">
        <f t="shared" si="53"/>
        <v>0</v>
      </c>
      <c r="BU31" s="29">
        <f t="shared" si="54"/>
        <v>0</v>
      </c>
      <c r="BV31" s="29">
        <f t="shared" si="55"/>
        <v>0</v>
      </c>
      <c r="BW31" s="29">
        <f t="shared" si="56"/>
        <v>0</v>
      </c>
      <c r="BX31" s="29">
        <f t="shared" si="57"/>
        <v>0</v>
      </c>
      <c r="BY31" s="29">
        <f t="shared" si="58"/>
        <v>0</v>
      </c>
      <c r="BZ31" s="29">
        <f t="shared" si="59"/>
        <v>0</v>
      </c>
      <c r="CA31" s="29">
        <f t="shared" si="60"/>
        <v>0</v>
      </c>
      <c r="CB31" s="29">
        <f t="shared" si="61"/>
        <v>0</v>
      </c>
      <c r="CC31" s="29">
        <f t="shared" si="62"/>
        <v>0</v>
      </c>
      <c r="CD31" s="29">
        <f t="shared" si="63"/>
        <v>0</v>
      </c>
      <c r="CE31" s="29">
        <f t="shared" si="64"/>
        <v>0</v>
      </c>
      <c r="CF31" s="29">
        <f t="shared" si="65"/>
        <v>0</v>
      </c>
      <c r="CG31" s="29">
        <f t="shared" si="66"/>
        <v>0</v>
      </c>
      <c r="CH31" s="29">
        <f t="shared" si="66"/>
        <v>0</v>
      </c>
      <c r="CI31" s="45"/>
      <c r="CJ31" s="45"/>
      <c r="CK31" s="45"/>
      <c r="CL31" s="45"/>
      <c r="CM31" s="45"/>
      <c r="CN31" s="35"/>
      <c r="CO31" s="35"/>
      <c r="DD31" s="45"/>
      <c r="DE31" s="45"/>
      <c r="DF31" s="35"/>
      <c r="DG31" s="35"/>
    </row>
    <row r="32" spans="1:113" ht="15" x14ac:dyDescent="0.25">
      <c r="A32" s="72" t="s">
        <v>72</v>
      </c>
      <c r="B32" s="74">
        <v>0</v>
      </c>
      <c r="C32" s="74">
        <v>0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/>
      <c r="AD32" s="32" t="s">
        <v>29</v>
      </c>
      <c r="AE32" s="13">
        <f t="shared" ref="AE32:BE32" si="78">((B$32/B$18)*$E$3)/302.5*(1/AE$4*1000)/2</f>
        <v>0</v>
      </c>
      <c r="AF32" s="13">
        <f t="shared" si="78"/>
        <v>0</v>
      </c>
      <c r="AG32" s="13">
        <f t="shared" si="78"/>
        <v>0</v>
      </c>
      <c r="AH32" s="13">
        <f t="shared" si="78"/>
        <v>0</v>
      </c>
      <c r="AI32" s="13">
        <f t="shared" si="78"/>
        <v>0</v>
      </c>
      <c r="AJ32" s="13">
        <f t="shared" si="78"/>
        <v>0</v>
      </c>
      <c r="AK32" s="13">
        <f t="shared" si="78"/>
        <v>0</v>
      </c>
      <c r="AL32" s="13">
        <f t="shared" si="78"/>
        <v>0</v>
      </c>
      <c r="AM32" s="13">
        <f t="shared" si="78"/>
        <v>0</v>
      </c>
      <c r="AN32" s="13">
        <f t="shared" si="78"/>
        <v>0</v>
      </c>
      <c r="AO32" s="13">
        <f t="shared" si="78"/>
        <v>0</v>
      </c>
      <c r="AP32" s="13">
        <f t="shared" si="78"/>
        <v>0</v>
      </c>
      <c r="AQ32" s="13">
        <f t="shared" si="78"/>
        <v>0</v>
      </c>
      <c r="AR32" s="13">
        <f t="shared" si="78"/>
        <v>0</v>
      </c>
      <c r="AS32" s="13">
        <f t="shared" si="78"/>
        <v>0</v>
      </c>
      <c r="AT32" s="13">
        <f t="shared" si="78"/>
        <v>0</v>
      </c>
      <c r="AU32" s="13">
        <f t="shared" si="78"/>
        <v>0</v>
      </c>
      <c r="AV32" s="13">
        <f t="shared" si="78"/>
        <v>0</v>
      </c>
      <c r="AW32" s="13">
        <f t="shared" si="78"/>
        <v>0</v>
      </c>
      <c r="AX32" s="13">
        <f t="shared" si="78"/>
        <v>0</v>
      </c>
      <c r="AY32" s="13">
        <f t="shared" si="78"/>
        <v>0</v>
      </c>
      <c r="AZ32" s="13">
        <f t="shared" si="78"/>
        <v>0</v>
      </c>
      <c r="BA32" s="13">
        <f t="shared" si="78"/>
        <v>0</v>
      </c>
      <c r="BB32" s="13">
        <f t="shared" si="78"/>
        <v>0</v>
      </c>
      <c r="BC32" s="13">
        <f t="shared" si="78"/>
        <v>0</v>
      </c>
      <c r="BD32" s="13">
        <f t="shared" si="78"/>
        <v>0</v>
      </c>
      <c r="BE32" s="13">
        <f t="shared" si="78"/>
        <v>0</v>
      </c>
      <c r="BG32" s="27">
        <v>0.83680555555555547</v>
      </c>
      <c r="BH32" s="29">
        <f t="shared" si="41"/>
        <v>0</v>
      </c>
      <c r="BI32" s="29">
        <f t="shared" si="42"/>
        <v>0</v>
      </c>
      <c r="BJ32" s="29">
        <f t="shared" si="43"/>
        <v>0</v>
      </c>
      <c r="BK32" s="29">
        <f t="shared" si="44"/>
        <v>0</v>
      </c>
      <c r="BL32" s="29">
        <f t="shared" si="45"/>
        <v>0</v>
      </c>
      <c r="BM32" s="29">
        <f t="shared" si="46"/>
        <v>0</v>
      </c>
      <c r="BN32" s="29">
        <f t="shared" si="47"/>
        <v>0</v>
      </c>
      <c r="BO32" s="29">
        <f t="shared" si="48"/>
        <v>0</v>
      </c>
      <c r="BP32" s="29">
        <f t="shared" si="49"/>
        <v>0</v>
      </c>
      <c r="BQ32" s="29">
        <f t="shared" si="50"/>
        <v>0</v>
      </c>
      <c r="BR32" s="29">
        <f t="shared" si="51"/>
        <v>0</v>
      </c>
      <c r="BS32" s="29">
        <f t="shared" si="52"/>
        <v>0</v>
      </c>
      <c r="BT32" s="29">
        <f t="shared" si="53"/>
        <v>0</v>
      </c>
      <c r="BU32" s="29">
        <f t="shared" si="54"/>
        <v>0</v>
      </c>
      <c r="BV32" s="29">
        <f t="shared" si="55"/>
        <v>0</v>
      </c>
      <c r="BW32" s="29">
        <f t="shared" si="56"/>
        <v>0</v>
      </c>
      <c r="BX32" s="29">
        <f t="shared" si="57"/>
        <v>0</v>
      </c>
      <c r="BY32" s="29">
        <f t="shared" si="58"/>
        <v>0</v>
      </c>
      <c r="BZ32" s="29">
        <f t="shared" si="59"/>
        <v>0</v>
      </c>
      <c r="CA32" s="29">
        <f t="shared" si="60"/>
        <v>0</v>
      </c>
      <c r="CB32" s="29">
        <f t="shared" si="61"/>
        <v>0</v>
      </c>
      <c r="CC32" s="29">
        <f t="shared" si="62"/>
        <v>0</v>
      </c>
      <c r="CD32" s="29">
        <f t="shared" si="63"/>
        <v>0</v>
      </c>
      <c r="CE32" s="29">
        <f t="shared" si="64"/>
        <v>0</v>
      </c>
      <c r="CF32" s="29">
        <f t="shared" si="65"/>
        <v>0</v>
      </c>
      <c r="CG32" s="29">
        <f t="shared" si="66"/>
        <v>0</v>
      </c>
      <c r="CH32" s="29">
        <f t="shared" si="66"/>
        <v>0</v>
      </c>
      <c r="CI32" s="35"/>
      <c r="CJ32" s="45"/>
      <c r="CK32" s="45"/>
      <c r="CL32" s="45"/>
      <c r="CM32" s="45"/>
      <c r="CN32" s="35"/>
      <c r="CO32" s="35"/>
      <c r="DD32" s="45"/>
      <c r="DE32" s="45"/>
      <c r="DF32" s="35"/>
      <c r="DG32" s="35"/>
    </row>
    <row r="33" spans="1:111" ht="15" x14ac:dyDescent="0.25">
      <c r="A33" s="72" t="s">
        <v>73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  <c r="Z33" s="74">
        <v>0</v>
      </c>
      <c r="AA33" s="74">
        <v>0</v>
      </c>
      <c r="AB33" s="74">
        <v>0</v>
      </c>
      <c r="AC33" s="74"/>
      <c r="AD33" s="27">
        <v>0.91666666666666663</v>
      </c>
      <c r="AE33" s="13">
        <f t="shared" ref="AE33:BE33" si="79">((B$33/B$18)*$E$3)/340.5*(1/AE$4*1000)/2</f>
        <v>0</v>
      </c>
      <c r="AF33" s="13">
        <f t="shared" si="79"/>
        <v>0</v>
      </c>
      <c r="AG33" s="13">
        <f t="shared" si="79"/>
        <v>0</v>
      </c>
      <c r="AH33" s="13">
        <f t="shared" si="79"/>
        <v>0</v>
      </c>
      <c r="AI33" s="13">
        <f t="shared" si="79"/>
        <v>0</v>
      </c>
      <c r="AJ33" s="13">
        <f t="shared" si="79"/>
        <v>0</v>
      </c>
      <c r="AK33" s="13">
        <f t="shared" si="79"/>
        <v>0</v>
      </c>
      <c r="AL33" s="13">
        <f t="shared" si="79"/>
        <v>0</v>
      </c>
      <c r="AM33" s="13">
        <f t="shared" si="79"/>
        <v>0</v>
      </c>
      <c r="AN33" s="13">
        <f t="shared" si="79"/>
        <v>0</v>
      </c>
      <c r="AO33" s="13">
        <f t="shared" si="79"/>
        <v>0</v>
      </c>
      <c r="AP33" s="13">
        <f t="shared" si="79"/>
        <v>0</v>
      </c>
      <c r="AQ33" s="13">
        <f t="shared" si="79"/>
        <v>0</v>
      </c>
      <c r="AR33" s="13">
        <f t="shared" si="79"/>
        <v>0</v>
      </c>
      <c r="AS33" s="13">
        <f t="shared" si="79"/>
        <v>0</v>
      </c>
      <c r="AT33" s="13">
        <f t="shared" si="79"/>
        <v>0</v>
      </c>
      <c r="AU33" s="13">
        <f t="shared" si="79"/>
        <v>0</v>
      </c>
      <c r="AV33" s="13">
        <f t="shared" si="79"/>
        <v>0</v>
      </c>
      <c r="AW33" s="13">
        <f t="shared" si="79"/>
        <v>0</v>
      </c>
      <c r="AX33" s="13">
        <f t="shared" si="79"/>
        <v>0</v>
      </c>
      <c r="AY33" s="13">
        <f t="shared" si="79"/>
        <v>0</v>
      </c>
      <c r="AZ33" s="13">
        <f t="shared" si="79"/>
        <v>0</v>
      </c>
      <c r="BA33" s="13">
        <f t="shared" si="79"/>
        <v>0</v>
      </c>
      <c r="BB33" s="13">
        <f t="shared" si="79"/>
        <v>0</v>
      </c>
      <c r="BC33" s="13">
        <f t="shared" si="79"/>
        <v>0</v>
      </c>
      <c r="BD33" s="13">
        <f t="shared" si="79"/>
        <v>0</v>
      </c>
      <c r="BE33" s="13">
        <f t="shared" si="79"/>
        <v>0</v>
      </c>
      <c r="BG33" s="27">
        <v>0.91666666666666663</v>
      </c>
      <c r="BH33" s="29">
        <f t="shared" si="41"/>
        <v>0</v>
      </c>
      <c r="BI33" s="29">
        <f t="shared" si="42"/>
        <v>0</v>
      </c>
      <c r="BJ33" s="29">
        <f t="shared" si="43"/>
        <v>0</v>
      </c>
      <c r="BK33" s="29">
        <f t="shared" si="44"/>
        <v>0</v>
      </c>
      <c r="BL33" s="29">
        <f t="shared" si="45"/>
        <v>0</v>
      </c>
      <c r="BM33" s="29">
        <f t="shared" si="46"/>
        <v>0</v>
      </c>
      <c r="BN33" s="29">
        <f t="shared" si="47"/>
        <v>0</v>
      </c>
      <c r="BO33" s="29">
        <f t="shared" si="48"/>
        <v>0</v>
      </c>
      <c r="BP33" s="29">
        <f t="shared" si="49"/>
        <v>0</v>
      </c>
      <c r="BQ33" s="29">
        <f t="shared" si="50"/>
        <v>0</v>
      </c>
      <c r="BR33" s="29">
        <f t="shared" si="51"/>
        <v>0</v>
      </c>
      <c r="BS33" s="29">
        <f t="shared" si="52"/>
        <v>0</v>
      </c>
      <c r="BT33" s="29">
        <f t="shared" si="53"/>
        <v>0</v>
      </c>
      <c r="BU33" s="29">
        <f t="shared" si="54"/>
        <v>0</v>
      </c>
      <c r="BV33" s="29">
        <f t="shared" si="55"/>
        <v>0</v>
      </c>
      <c r="BW33" s="29">
        <f t="shared" si="56"/>
        <v>0</v>
      </c>
      <c r="BX33" s="29">
        <f t="shared" si="57"/>
        <v>0</v>
      </c>
      <c r="BY33" s="29">
        <f t="shared" si="58"/>
        <v>0</v>
      </c>
      <c r="BZ33" s="29">
        <f t="shared" si="59"/>
        <v>0</v>
      </c>
      <c r="CA33" s="29">
        <f t="shared" si="60"/>
        <v>0</v>
      </c>
      <c r="CB33" s="29">
        <f t="shared" si="61"/>
        <v>0</v>
      </c>
      <c r="CC33" s="29">
        <f t="shared" si="62"/>
        <v>0</v>
      </c>
      <c r="CD33" s="29">
        <f t="shared" si="63"/>
        <v>0</v>
      </c>
      <c r="CE33" s="29">
        <f t="shared" si="64"/>
        <v>0</v>
      </c>
      <c r="CF33" s="29">
        <f t="shared" si="65"/>
        <v>0</v>
      </c>
      <c r="CG33" s="29">
        <f t="shared" si="66"/>
        <v>0</v>
      </c>
      <c r="CH33" s="29">
        <f t="shared" si="66"/>
        <v>0</v>
      </c>
      <c r="CI33" s="35"/>
      <c r="CJ33" s="45"/>
      <c r="CK33" s="45"/>
      <c r="CL33" s="45"/>
      <c r="CM33" s="45"/>
      <c r="CN33" s="35"/>
      <c r="CO33" s="35"/>
      <c r="DD33" s="45"/>
      <c r="DE33" s="45"/>
      <c r="DF33" s="35"/>
      <c r="DG33" s="35"/>
    </row>
    <row r="34" spans="1:111" ht="15" x14ac:dyDescent="0.25">
      <c r="A34" s="72" t="s">
        <v>74</v>
      </c>
      <c r="B34" s="74">
        <v>893.7165</v>
      </c>
      <c r="C34" s="74">
        <v>788.60929999999996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0</v>
      </c>
      <c r="Z34" s="74">
        <v>0</v>
      </c>
      <c r="AA34" s="74">
        <v>0</v>
      </c>
      <c r="AB34" s="74">
        <v>0</v>
      </c>
      <c r="AC34" s="74"/>
      <c r="AD34" s="27">
        <v>0.91736111111111107</v>
      </c>
      <c r="AE34" s="18">
        <f t="shared" ref="AE34:BE34" si="80">((B$34/B$18)*$E$3)/338.5*(1/AE$4*1000)/2</f>
        <v>21.128517258023983</v>
      </c>
      <c r="AF34" s="18">
        <f t="shared" si="80"/>
        <v>21.478913384713</v>
      </c>
      <c r="AG34" s="18">
        <f t="shared" si="80"/>
        <v>0</v>
      </c>
      <c r="AH34" s="18">
        <f t="shared" si="80"/>
        <v>0</v>
      </c>
      <c r="AI34" s="18">
        <f t="shared" si="80"/>
        <v>0</v>
      </c>
      <c r="AJ34" s="18">
        <f t="shared" si="80"/>
        <v>0</v>
      </c>
      <c r="AK34" s="18">
        <f t="shared" si="80"/>
        <v>0</v>
      </c>
      <c r="AL34" s="18">
        <f t="shared" si="80"/>
        <v>0</v>
      </c>
      <c r="AM34" s="18">
        <f t="shared" si="80"/>
        <v>0</v>
      </c>
      <c r="AN34" s="18">
        <f t="shared" si="80"/>
        <v>0</v>
      </c>
      <c r="AO34" s="18">
        <f t="shared" si="80"/>
        <v>0</v>
      </c>
      <c r="AP34" s="18">
        <f t="shared" si="80"/>
        <v>0</v>
      </c>
      <c r="AQ34" s="18">
        <f t="shared" si="80"/>
        <v>0</v>
      </c>
      <c r="AR34" s="18">
        <f t="shared" si="80"/>
        <v>0</v>
      </c>
      <c r="AS34" s="18">
        <f t="shared" si="80"/>
        <v>0</v>
      </c>
      <c r="AT34" s="18">
        <f t="shared" si="80"/>
        <v>0</v>
      </c>
      <c r="AU34" s="18">
        <f t="shared" si="80"/>
        <v>0</v>
      </c>
      <c r="AV34" s="18">
        <f t="shared" si="80"/>
        <v>0</v>
      </c>
      <c r="AW34" s="18">
        <f t="shared" si="80"/>
        <v>0</v>
      </c>
      <c r="AX34" s="18">
        <f t="shared" si="80"/>
        <v>0</v>
      </c>
      <c r="AY34" s="18">
        <f t="shared" si="80"/>
        <v>0</v>
      </c>
      <c r="AZ34" s="18">
        <f t="shared" si="80"/>
        <v>0</v>
      </c>
      <c r="BA34" s="18">
        <f t="shared" si="80"/>
        <v>0</v>
      </c>
      <c r="BB34" s="18">
        <f t="shared" si="80"/>
        <v>0</v>
      </c>
      <c r="BC34" s="18">
        <f t="shared" si="80"/>
        <v>0</v>
      </c>
      <c r="BD34" s="18">
        <f t="shared" si="80"/>
        <v>0</v>
      </c>
      <c r="BE34" s="18">
        <f t="shared" si="80"/>
        <v>0</v>
      </c>
      <c r="BF34" s="18"/>
      <c r="BG34" s="27">
        <v>0.91736111111111107</v>
      </c>
      <c r="BH34" s="29">
        <f t="shared" si="41"/>
        <v>1.8390671931144464</v>
      </c>
      <c r="BI34" s="29">
        <f t="shared" si="42"/>
        <v>2.0694724291969164</v>
      </c>
      <c r="BJ34" s="29">
        <f t="shared" si="43"/>
        <v>0</v>
      </c>
      <c r="BK34" s="29">
        <f t="shared" si="44"/>
        <v>0</v>
      </c>
      <c r="BL34" s="29">
        <f t="shared" si="45"/>
        <v>0</v>
      </c>
      <c r="BM34" s="29">
        <f t="shared" si="46"/>
        <v>0</v>
      </c>
      <c r="BN34" s="29">
        <f t="shared" si="47"/>
        <v>0</v>
      </c>
      <c r="BO34" s="29">
        <f t="shared" si="48"/>
        <v>0</v>
      </c>
      <c r="BP34" s="29">
        <f t="shared" si="49"/>
        <v>0</v>
      </c>
      <c r="BQ34" s="29">
        <f t="shared" si="50"/>
        <v>0</v>
      </c>
      <c r="BR34" s="29">
        <f t="shared" si="51"/>
        <v>0</v>
      </c>
      <c r="BS34" s="29">
        <f t="shared" si="52"/>
        <v>0</v>
      </c>
      <c r="BT34" s="29">
        <f t="shared" si="53"/>
        <v>0</v>
      </c>
      <c r="BU34" s="29">
        <f t="shared" si="54"/>
        <v>0</v>
      </c>
      <c r="BV34" s="29">
        <f t="shared" si="55"/>
        <v>0</v>
      </c>
      <c r="BW34" s="29">
        <f t="shared" si="56"/>
        <v>0</v>
      </c>
      <c r="BX34" s="29">
        <f t="shared" si="57"/>
        <v>0</v>
      </c>
      <c r="BY34" s="29">
        <f t="shared" si="58"/>
        <v>0</v>
      </c>
      <c r="BZ34" s="29">
        <f t="shared" si="59"/>
        <v>0</v>
      </c>
      <c r="CA34" s="29">
        <f t="shared" si="60"/>
        <v>0</v>
      </c>
      <c r="CB34" s="29">
        <f t="shared" si="61"/>
        <v>0</v>
      </c>
      <c r="CC34" s="29">
        <f t="shared" si="62"/>
        <v>0</v>
      </c>
      <c r="CD34" s="29">
        <f t="shared" si="63"/>
        <v>0</v>
      </c>
      <c r="CE34" s="29">
        <f t="shared" si="64"/>
        <v>0</v>
      </c>
      <c r="CF34" s="29">
        <f t="shared" si="65"/>
        <v>0</v>
      </c>
      <c r="CG34" s="29">
        <f t="shared" si="66"/>
        <v>0</v>
      </c>
      <c r="CH34" s="29">
        <f t="shared" si="66"/>
        <v>0</v>
      </c>
      <c r="CI34" s="46"/>
      <c r="CJ34" s="45"/>
      <c r="CK34" s="45"/>
      <c r="CL34" s="45"/>
      <c r="CM34" s="45"/>
      <c r="CN34" s="35"/>
      <c r="CO34" s="35"/>
      <c r="DD34" s="45"/>
      <c r="DE34" s="45"/>
      <c r="DF34" s="35"/>
      <c r="DG34" s="35"/>
    </row>
    <row r="35" spans="1:111" ht="15" x14ac:dyDescent="0.25">
      <c r="A35" s="72" t="s">
        <v>75</v>
      </c>
      <c r="B35" s="74">
        <v>0</v>
      </c>
      <c r="C35" s="74">
        <v>0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0</v>
      </c>
      <c r="Z35" s="74">
        <v>0</v>
      </c>
      <c r="AA35" s="74">
        <v>0</v>
      </c>
      <c r="AB35" s="74">
        <v>0</v>
      </c>
      <c r="AC35" s="74"/>
      <c r="AD35" s="27">
        <v>0.91805555555555562</v>
      </c>
      <c r="AE35" s="13">
        <f t="shared" ref="AE35:BE35" si="81">((B$35/B$18)*$E$3)/336.5*(1/AE$4*1000)/2</f>
        <v>0</v>
      </c>
      <c r="AF35" s="13">
        <f t="shared" si="81"/>
        <v>0</v>
      </c>
      <c r="AG35" s="13">
        <f t="shared" si="81"/>
        <v>0</v>
      </c>
      <c r="AH35" s="13">
        <f t="shared" si="81"/>
        <v>0</v>
      </c>
      <c r="AI35" s="13">
        <f t="shared" si="81"/>
        <v>0</v>
      </c>
      <c r="AJ35" s="13">
        <f t="shared" si="81"/>
        <v>0</v>
      </c>
      <c r="AK35" s="13">
        <f t="shared" si="81"/>
        <v>0</v>
      </c>
      <c r="AL35" s="13">
        <f t="shared" si="81"/>
        <v>0</v>
      </c>
      <c r="AM35" s="13">
        <f t="shared" si="81"/>
        <v>0</v>
      </c>
      <c r="AN35" s="13">
        <f t="shared" si="81"/>
        <v>0</v>
      </c>
      <c r="AO35" s="13">
        <f t="shared" si="81"/>
        <v>0</v>
      </c>
      <c r="AP35" s="13">
        <f t="shared" si="81"/>
        <v>0</v>
      </c>
      <c r="AQ35" s="13">
        <f t="shared" si="81"/>
        <v>0</v>
      </c>
      <c r="AR35" s="13">
        <f t="shared" si="81"/>
        <v>0</v>
      </c>
      <c r="AS35" s="13">
        <f t="shared" si="81"/>
        <v>0</v>
      </c>
      <c r="AT35" s="13">
        <f t="shared" si="81"/>
        <v>0</v>
      </c>
      <c r="AU35" s="13">
        <f t="shared" si="81"/>
        <v>0</v>
      </c>
      <c r="AV35" s="13">
        <f t="shared" si="81"/>
        <v>0</v>
      </c>
      <c r="AW35" s="13">
        <f t="shared" si="81"/>
        <v>0</v>
      </c>
      <c r="AX35" s="13">
        <f t="shared" si="81"/>
        <v>0</v>
      </c>
      <c r="AY35" s="13">
        <f t="shared" si="81"/>
        <v>0</v>
      </c>
      <c r="AZ35" s="13">
        <f t="shared" si="81"/>
        <v>0</v>
      </c>
      <c r="BA35" s="13">
        <f t="shared" si="81"/>
        <v>0</v>
      </c>
      <c r="BB35" s="13">
        <f t="shared" si="81"/>
        <v>0</v>
      </c>
      <c r="BC35" s="13">
        <f t="shared" si="81"/>
        <v>0</v>
      </c>
      <c r="BD35" s="13">
        <f t="shared" si="81"/>
        <v>0</v>
      </c>
      <c r="BE35" s="13">
        <f t="shared" si="81"/>
        <v>0</v>
      </c>
      <c r="BG35" s="27">
        <v>0.91805555555555562</v>
      </c>
      <c r="BH35" s="29">
        <f t="shared" si="41"/>
        <v>0</v>
      </c>
      <c r="BI35" s="29">
        <f t="shared" si="42"/>
        <v>0</v>
      </c>
      <c r="BJ35" s="29">
        <f t="shared" si="43"/>
        <v>0</v>
      </c>
      <c r="BK35" s="29">
        <f t="shared" si="44"/>
        <v>0</v>
      </c>
      <c r="BL35" s="29">
        <f t="shared" si="45"/>
        <v>0</v>
      </c>
      <c r="BM35" s="29">
        <f t="shared" si="46"/>
        <v>0</v>
      </c>
      <c r="BN35" s="29">
        <f t="shared" si="47"/>
        <v>0</v>
      </c>
      <c r="BO35" s="29">
        <f t="shared" si="48"/>
        <v>0</v>
      </c>
      <c r="BP35" s="29">
        <f t="shared" si="49"/>
        <v>0</v>
      </c>
      <c r="BQ35" s="29">
        <f t="shared" si="50"/>
        <v>0</v>
      </c>
      <c r="BR35" s="29">
        <f t="shared" si="51"/>
        <v>0</v>
      </c>
      <c r="BS35" s="29">
        <f t="shared" si="52"/>
        <v>0</v>
      </c>
      <c r="BT35" s="29">
        <f t="shared" si="53"/>
        <v>0</v>
      </c>
      <c r="BU35" s="29">
        <f t="shared" si="54"/>
        <v>0</v>
      </c>
      <c r="BV35" s="29">
        <f t="shared" si="55"/>
        <v>0</v>
      </c>
      <c r="BW35" s="29">
        <f t="shared" si="56"/>
        <v>0</v>
      </c>
      <c r="BX35" s="29">
        <f t="shared" si="57"/>
        <v>0</v>
      </c>
      <c r="BY35" s="29">
        <f t="shared" si="58"/>
        <v>0</v>
      </c>
      <c r="BZ35" s="29">
        <f t="shared" si="59"/>
        <v>0</v>
      </c>
      <c r="CA35" s="29">
        <f t="shared" si="60"/>
        <v>0</v>
      </c>
      <c r="CB35" s="29">
        <f t="shared" si="61"/>
        <v>0</v>
      </c>
      <c r="CC35" s="29">
        <f t="shared" si="62"/>
        <v>0</v>
      </c>
      <c r="CD35" s="29">
        <f t="shared" si="63"/>
        <v>0</v>
      </c>
      <c r="CE35" s="29">
        <f t="shared" si="64"/>
        <v>0</v>
      </c>
      <c r="CF35" s="29">
        <f t="shared" si="65"/>
        <v>0</v>
      </c>
      <c r="CG35" s="29">
        <f t="shared" si="66"/>
        <v>0</v>
      </c>
      <c r="CH35" s="29">
        <f t="shared" si="66"/>
        <v>0</v>
      </c>
      <c r="CI35" s="45"/>
      <c r="CJ35" s="45"/>
      <c r="CK35" s="45"/>
      <c r="CL35" s="45"/>
      <c r="CM35" s="45"/>
      <c r="CN35" s="35"/>
      <c r="CO35" s="35"/>
      <c r="DD35" s="45"/>
      <c r="DE35" s="45"/>
      <c r="DF35" s="35"/>
      <c r="DG35" s="35"/>
    </row>
    <row r="36" spans="1:111" ht="15" x14ac:dyDescent="0.25">
      <c r="A36" s="72" t="s">
        <v>76</v>
      </c>
      <c r="B36" s="74">
        <v>0</v>
      </c>
      <c r="C36" s="74">
        <v>0</v>
      </c>
      <c r="D36" s="74">
        <v>0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 t="s">
        <v>226</v>
      </c>
      <c r="L36" s="74" t="s">
        <v>227</v>
      </c>
      <c r="M36" s="74" t="s">
        <v>228</v>
      </c>
      <c r="N36" s="74" t="s">
        <v>229</v>
      </c>
      <c r="O36" s="74" t="s">
        <v>230</v>
      </c>
      <c r="P36" s="74" t="s">
        <v>231</v>
      </c>
      <c r="Q36" s="74" t="s">
        <v>232</v>
      </c>
      <c r="R36" s="74" t="s">
        <v>233</v>
      </c>
      <c r="S36" s="74" t="s">
        <v>234</v>
      </c>
      <c r="T36" s="74" t="s">
        <v>235</v>
      </c>
      <c r="U36" s="74" t="s">
        <v>236</v>
      </c>
      <c r="V36" s="74" t="s">
        <v>237</v>
      </c>
      <c r="W36" s="74" t="s">
        <v>238</v>
      </c>
      <c r="X36" s="74" t="s">
        <v>239</v>
      </c>
      <c r="Y36" s="74" t="s">
        <v>240</v>
      </c>
      <c r="Z36" s="74" t="s">
        <v>241</v>
      </c>
      <c r="AA36" s="74" t="s">
        <v>242</v>
      </c>
      <c r="AB36" s="74" t="s">
        <v>243</v>
      </c>
      <c r="AC36" s="74"/>
      <c r="AD36" s="32"/>
      <c r="BG36" s="27">
        <v>0.95833333333333337</v>
      </c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45"/>
      <c r="CJ36" s="45"/>
      <c r="CK36" s="45"/>
      <c r="CL36" s="45"/>
      <c r="CM36" s="45"/>
      <c r="CN36" s="35"/>
      <c r="CO36" s="35"/>
      <c r="DD36" s="45"/>
      <c r="DE36" s="45"/>
      <c r="DF36" s="35"/>
      <c r="DG36" s="35"/>
    </row>
    <row r="37" spans="1:111" ht="15" x14ac:dyDescent="0.25">
      <c r="A37" s="72" t="s">
        <v>77</v>
      </c>
      <c r="B37" s="74">
        <v>0</v>
      </c>
      <c r="C37" s="74">
        <v>0</v>
      </c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  <c r="Z37" s="74">
        <v>0</v>
      </c>
      <c r="AA37" s="74">
        <v>0</v>
      </c>
      <c r="AB37" s="74">
        <v>0</v>
      </c>
      <c r="AC37" s="74"/>
      <c r="AD37" s="32" t="s">
        <v>30</v>
      </c>
      <c r="AE37" s="13">
        <f t="shared" ref="AE37:BE37" si="82">((B$37/B$18)*$E$3)/330.5*(1/AE$4*1000)/2</f>
        <v>0</v>
      </c>
      <c r="AF37" s="13">
        <f t="shared" si="82"/>
        <v>0</v>
      </c>
      <c r="AG37" s="13">
        <f t="shared" si="82"/>
        <v>0</v>
      </c>
      <c r="AH37" s="13">
        <f t="shared" si="82"/>
        <v>0</v>
      </c>
      <c r="AI37" s="13">
        <f t="shared" si="82"/>
        <v>0</v>
      </c>
      <c r="AJ37" s="13">
        <f t="shared" si="82"/>
        <v>0</v>
      </c>
      <c r="AK37" s="13">
        <f t="shared" si="82"/>
        <v>0</v>
      </c>
      <c r="AL37" s="13">
        <f t="shared" si="82"/>
        <v>0</v>
      </c>
      <c r="AM37" s="13">
        <f t="shared" si="82"/>
        <v>0</v>
      </c>
      <c r="AN37" s="13">
        <f t="shared" si="82"/>
        <v>0</v>
      </c>
      <c r="AO37" s="13">
        <f t="shared" si="82"/>
        <v>0</v>
      </c>
      <c r="AP37" s="13">
        <f t="shared" si="82"/>
        <v>0</v>
      </c>
      <c r="AQ37" s="13">
        <f t="shared" si="82"/>
        <v>0</v>
      </c>
      <c r="AR37" s="13">
        <f t="shared" si="82"/>
        <v>0</v>
      </c>
      <c r="AS37" s="13">
        <f t="shared" si="82"/>
        <v>0</v>
      </c>
      <c r="AT37" s="13">
        <f t="shared" si="82"/>
        <v>0</v>
      </c>
      <c r="AU37" s="13">
        <f t="shared" si="82"/>
        <v>0</v>
      </c>
      <c r="AV37" s="13">
        <f t="shared" si="82"/>
        <v>0</v>
      </c>
      <c r="AW37" s="13">
        <f t="shared" si="82"/>
        <v>0</v>
      </c>
      <c r="AX37" s="13">
        <f t="shared" si="82"/>
        <v>0</v>
      </c>
      <c r="AY37" s="13">
        <f t="shared" si="82"/>
        <v>0</v>
      </c>
      <c r="AZ37" s="13">
        <f t="shared" si="82"/>
        <v>0</v>
      </c>
      <c r="BA37" s="13">
        <f t="shared" si="82"/>
        <v>0</v>
      </c>
      <c r="BB37" s="13">
        <f t="shared" si="82"/>
        <v>0</v>
      </c>
      <c r="BC37" s="13">
        <f t="shared" si="82"/>
        <v>0</v>
      </c>
      <c r="BD37" s="13">
        <f t="shared" si="82"/>
        <v>0</v>
      </c>
      <c r="BE37" s="13">
        <f t="shared" si="82"/>
        <v>0</v>
      </c>
      <c r="BG37" s="27">
        <v>0.92013888888888884</v>
      </c>
      <c r="BH37" s="29">
        <f>AE37*100/AE$39</f>
        <v>0</v>
      </c>
      <c r="BI37" s="29">
        <f>AF37*100/AF$39</f>
        <v>0</v>
      </c>
      <c r="BJ37" s="29">
        <f>AG37*100/AG$39</f>
        <v>0</v>
      </c>
      <c r="BK37" s="29">
        <f t="shared" ref="BK37:CD38" si="83">AH37*100/AH$39</f>
        <v>0</v>
      </c>
      <c r="BL37" s="29">
        <f t="shared" si="83"/>
        <v>0</v>
      </c>
      <c r="BM37" s="29">
        <f t="shared" si="83"/>
        <v>0</v>
      </c>
      <c r="BN37" s="29">
        <f t="shared" si="83"/>
        <v>0</v>
      </c>
      <c r="BO37" s="29">
        <f t="shared" si="83"/>
        <v>0</v>
      </c>
      <c r="BP37" s="29">
        <f t="shared" si="83"/>
        <v>0</v>
      </c>
      <c r="BQ37" s="29">
        <f t="shared" si="83"/>
        <v>0</v>
      </c>
      <c r="BR37" s="29">
        <f t="shared" si="83"/>
        <v>0</v>
      </c>
      <c r="BS37" s="29">
        <f t="shared" si="83"/>
        <v>0</v>
      </c>
      <c r="BT37" s="29">
        <f t="shared" si="83"/>
        <v>0</v>
      </c>
      <c r="BU37" s="29">
        <f t="shared" si="83"/>
        <v>0</v>
      </c>
      <c r="BV37" s="29">
        <f t="shared" si="83"/>
        <v>0</v>
      </c>
      <c r="BW37" s="29">
        <f t="shared" si="83"/>
        <v>0</v>
      </c>
      <c r="BX37" s="29">
        <f t="shared" si="83"/>
        <v>0</v>
      </c>
      <c r="BY37" s="29">
        <f t="shared" si="83"/>
        <v>0</v>
      </c>
      <c r="BZ37" s="29">
        <f t="shared" si="83"/>
        <v>0</v>
      </c>
      <c r="CA37" s="29">
        <f t="shared" si="83"/>
        <v>0</v>
      </c>
      <c r="CB37" s="29">
        <f t="shared" si="83"/>
        <v>0</v>
      </c>
      <c r="CC37" s="29">
        <f t="shared" si="83"/>
        <v>0</v>
      </c>
      <c r="CD37" s="29">
        <f t="shared" si="83"/>
        <v>0</v>
      </c>
      <c r="CE37" s="29">
        <f t="shared" ref="CE37:CE38" si="84">BB37*100/BB$39</f>
        <v>0</v>
      </c>
      <c r="CF37" s="29">
        <f t="shared" ref="CF37:CF38" si="85">BC37*100/BC$39</f>
        <v>0</v>
      </c>
      <c r="CG37" s="29">
        <f t="shared" ref="CG37:CH38" si="86">BD37*100/BD$39</f>
        <v>0</v>
      </c>
      <c r="CH37" s="29">
        <f t="shared" si="86"/>
        <v>0</v>
      </c>
      <c r="CI37" s="45"/>
      <c r="CJ37" s="45"/>
      <c r="CK37" s="45"/>
      <c r="CL37" s="45"/>
      <c r="CM37" s="45"/>
      <c r="CN37" s="35"/>
      <c r="CO37" s="35"/>
      <c r="DD37" s="45"/>
      <c r="DE37" s="45"/>
      <c r="DF37" s="35"/>
      <c r="DG37" s="35"/>
    </row>
    <row r="38" spans="1:111" ht="15" x14ac:dyDescent="0.25">
      <c r="A38" s="72" t="s">
        <v>78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  <c r="Z38" s="74">
        <v>0</v>
      </c>
      <c r="AA38" s="74">
        <v>0</v>
      </c>
      <c r="AB38" s="74">
        <v>0</v>
      </c>
      <c r="AC38" s="74"/>
      <c r="AD38" s="32" t="s">
        <v>31</v>
      </c>
      <c r="AE38" s="13">
        <f t="shared" ref="AE38:BE38" si="87">((B$38/B$18)*$E$3)/328.5*(1/AE$4*1000)/2</f>
        <v>0</v>
      </c>
      <c r="AF38" s="13">
        <f t="shared" si="87"/>
        <v>0</v>
      </c>
      <c r="AG38" s="13">
        <f t="shared" si="87"/>
        <v>0</v>
      </c>
      <c r="AH38" s="13">
        <f t="shared" si="87"/>
        <v>0</v>
      </c>
      <c r="AI38" s="13">
        <f t="shared" si="87"/>
        <v>0</v>
      </c>
      <c r="AJ38" s="13">
        <f t="shared" si="87"/>
        <v>0</v>
      </c>
      <c r="AK38" s="13">
        <f t="shared" si="87"/>
        <v>0</v>
      </c>
      <c r="AL38" s="13">
        <f t="shared" si="87"/>
        <v>0</v>
      </c>
      <c r="AM38" s="13">
        <f t="shared" si="87"/>
        <v>0</v>
      </c>
      <c r="AN38" s="13">
        <f t="shared" si="87"/>
        <v>0</v>
      </c>
      <c r="AO38" s="13">
        <f t="shared" si="87"/>
        <v>0</v>
      </c>
      <c r="AP38" s="13">
        <f t="shared" si="87"/>
        <v>0</v>
      </c>
      <c r="AQ38" s="13">
        <f t="shared" si="87"/>
        <v>0</v>
      </c>
      <c r="AR38" s="13">
        <f t="shared" si="87"/>
        <v>0</v>
      </c>
      <c r="AS38" s="13">
        <f t="shared" si="87"/>
        <v>0</v>
      </c>
      <c r="AT38" s="13">
        <f t="shared" si="87"/>
        <v>0</v>
      </c>
      <c r="AU38" s="13">
        <f t="shared" si="87"/>
        <v>0</v>
      </c>
      <c r="AV38" s="13">
        <f t="shared" si="87"/>
        <v>0</v>
      </c>
      <c r="AW38" s="13">
        <f t="shared" si="87"/>
        <v>0</v>
      </c>
      <c r="AX38" s="13">
        <f t="shared" si="87"/>
        <v>0</v>
      </c>
      <c r="AY38" s="13">
        <f t="shared" si="87"/>
        <v>0</v>
      </c>
      <c r="AZ38" s="13">
        <f t="shared" si="87"/>
        <v>0</v>
      </c>
      <c r="BA38" s="13">
        <f t="shared" si="87"/>
        <v>0</v>
      </c>
      <c r="BB38" s="13">
        <f t="shared" si="87"/>
        <v>0</v>
      </c>
      <c r="BC38" s="13">
        <f t="shared" si="87"/>
        <v>0</v>
      </c>
      <c r="BD38" s="13">
        <f t="shared" si="87"/>
        <v>0</v>
      </c>
      <c r="BE38" s="13">
        <f t="shared" si="87"/>
        <v>0</v>
      </c>
      <c r="BG38" s="27">
        <v>0.92083333333333339</v>
      </c>
      <c r="BH38" s="29">
        <f>AE38*100/AE$39</f>
        <v>0</v>
      </c>
      <c r="BI38" s="29">
        <f>AF38*100/AF$39</f>
        <v>0</v>
      </c>
      <c r="BJ38" s="29">
        <f>AG38*100/AG$39</f>
        <v>0</v>
      </c>
      <c r="BK38" s="29">
        <f t="shared" si="83"/>
        <v>0</v>
      </c>
      <c r="BL38" s="29">
        <f t="shared" si="83"/>
        <v>0</v>
      </c>
      <c r="BM38" s="29">
        <f t="shared" si="83"/>
        <v>0</v>
      </c>
      <c r="BN38" s="29">
        <f t="shared" si="83"/>
        <v>0</v>
      </c>
      <c r="BO38" s="29">
        <f t="shared" si="83"/>
        <v>0</v>
      </c>
      <c r="BP38" s="29">
        <f t="shared" si="83"/>
        <v>0</v>
      </c>
      <c r="BQ38" s="29">
        <f t="shared" si="83"/>
        <v>0</v>
      </c>
      <c r="BR38" s="29">
        <f t="shared" si="83"/>
        <v>0</v>
      </c>
      <c r="BS38" s="29">
        <f t="shared" si="83"/>
        <v>0</v>
      </c>
      <c r="BT38" s="29">
        <f t="shared" si="83"/>
        <v>0</v>
      </c>
      <c r="BU38" s="29">
        <f t="shared" si="83"/>
        <v>0</v>
      </c>
      <c r="BV38" s="29">
        <f t="shared" si="83"/>
        <v>0</v>
      </c>
      <c r="BW38" s="29">
        <f t="shared" si="83"/>
        <v>0</v>
      </c>
      <c r="BX38" s="29">
        <f t="shared" si="83"/>
        <v>0</v>
      </c>
      <c r="BY38" s="29">
        <f t="shared" si="83"/>
        <v>0</v>
      </c>
      <c r="BZ38" s="29">
        <f t="shared" si="83"/>
        <v>0</v>
      </c>
      <c r="CA38" s="29">
        <f t="shared" si="83"/>
        <v>0</v>
      </c>
      <c r="CB38" s="29">
        <f t="shared" si="83"/>
        <v>0</v>
      </c>
      <c r="CC38" s="29">
        <f t="shared" si="83"/>
        <v>0</v>
      </c>
      <c r="CD38" s="29">
        <f t="shared" si="83"/>
        <v>0</v>
      </c>
      <c r="CE38" s="29">
        <f t="shared" si="84"/>
        <v>0</v>
      </c>
      <c r="CF38" s="29">
        <f t="shared" si="85"/>
        <v>0</v>
      </c>
      <c r="CG38" s="29">
        <f t="shared" si="86"/>
        <v>0</v>
      </c>
      <c r="CH38" s="29">
        <f t="shared" si="86"/>
        <v>0</v>
      </c>
      <c r="CI38" s="45"/>
      <c r="CJ38" s="35"/>
      <c r="CK38" s="35"/>
      <c r="CL38" s="35"/>
      <c r="CM38" s="35"/>
      <c r="CN38" s="35"/>
      <c r="CO38" s="35"/>
      <c r="DD38" s="35"/>
      <c r="DE38" s="35"/>
      <c r="DF38" s="35"/>
      <c r="DG38" s="35"/>
    </row>
    <row r="39" spans="1:111" ht="15" x14ac:dyDescent="0.25">
      <c r="A39" s="72"/>
      <c r="B39" s="27"/>
      <c r="E39" s="25"/>
      <c r="F39" s="25"/>
      <c r="AD39" s="32" t="s">
        <v>32</v>
      </c>
      <c r="AE39" s="33">
        <f t="shared" ref="AE39" si="88">SUM(AE6:AE35,AE37:AE38)</f>
        <v>1148.8714135693433</v>
      </c>
      <c r="AF39" s="33">
        <f t="shared" ref="AF39:BE39" si="89">SUM(AF6:AF35,AF37:AF38)</f>
        <v>1037.8931887025985</v>
      </c>
      <c r="AG39" s="33">
        <f t="shared" ref="AG39" si="90">SUM(AG6:AG35,AG37:AG38)</f>
        <v>1024.3357378769842</v>
      </c>
      <c r="AH39" s="33">
        <f t="shared" si="89"/>
        <v>1101.5282616383449</v>
      </c>
      <c r="AI39" s="33">
        <f t="shared" si="89"/>
        <v>1134.4794261352044</v>
      </c>
      <c r="AJ39" s="33">
        <f t="shared" si="89"/>
        <v>1174.5705223134548</v>
      </c>
      <c r="AK39" s="33">
        <f t="shared" si="89"/>
        <v>1065.8984734376345</v>
      </c>
      <c r="AL39" s="33">
        <f t="shared" si="89"/>
        <v>1201.1955284304968</v>
      </c>
      <c r="AM39" s="33">
        <f t="shared" si="89"/>
        <v>1187.9506007766981</v>
      </c>
      <c r="AN39" s="33">
        <f t="shared" si="89"/>
        <v>1240.2399511666877</v>
      </c>
      <c r="AO39" s="33">
        <f t="shared" si="89"/>
        <v>1334.9673882789796</v>
      </c>
      <c r="AP39" s="33">
        <f t="shared" si="89"/>
        <v>1418.4385099299052</v>
      </c>
      <c r="AQ39" s="33">
        <f t="shared" si="89"/>
        <v>1280.8450051700036</v>
      </c>
      <c r="AR39" s="33">
        <f t="shared" si="89"/>
        <v>1242.3431598788222</v>
      </c>
      <c r="AS39" s="33">
        <f t="shared" si="89"/>
        <v>1109.1776607888758</v>
      </c>
      <c r="AT39" s="33">
        <f t="shared" si="89"/>
        <v>1142.5514006517337</v>
      </c>
      <c r="AU39" s="33">
        <f t="shared" si="89"/>
        <v>1446.3266305996347</v>
      </c>
      <c r="AV39" s="33">
        <f t="shared" si="89"/>
        <v>1342.8449207118626</v>
      </c>
      <c r="AW39" s="33">
        <f t="shared" si="89"/>
        <v>1339.4102339821704</v>
      </c>
      <c r="AX39" s="33">
        <f t="shared" si="89"/>
        <v>1712.0288772712036</v>
      </c>
      <c r="AY39" s="33">
        <f t="shared" si="89"/>
        <v>1447.6788332553158</v>
      </c>
      <c r="AZ39" s="33">
        <f t="shared" si="89"/>
        <v>1350.444625170499</v>
      </c>
      <c r="BA39" s="33">
        <f t="shared" si="89"/>
        <v>1524.8404500339509</v>
      </c>
      <c r="BB39" s="33">
        <f t="shared" si="89"/>
        <v>1554.7383881392313</v>
      </c>
      <c r="BC39" s="33">
        <f t="shared" si="89"/>
        <v>1413.0583442105851</v>
      </c>
      <c r="BD39" s="33">
        <f t="shared" si="89"/>
        <v>1627.9728508497053</v>
      </c>
      <c r="BE39" s="33">
        <f t="shared" si="89"/>
        <v>1786.1180562961797</v>
      </c>
      <c r="BF39" s="33"/>
      <c r="BG39" s="33"/>
      <c r="BH39" s="29"/>
      <c r="BI39" s="29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45"/>
      <c r="CJ39" s="35"/>
      <c r="CK39" s="35"/>
      <c r="CL39" s="35"/>
      <c r="CM39" s="35"/>
      <c r="CN39" s="35"/>
      <c r="CO39" s="35"/>
      <c r="DD39" s="35"/>
      <c r="DE39" s="35"/>
      <c r="DF39" s="35"/>
      <c r="DG39" s="35"/>
    </row>
    <row r="40" spans="1:111" x14ac:dyDescent="0.2">
      <c r="A40" s="69" t="s">
        <v>33</v>
      </c>
      <c r="B40" s="36" t="e">
        <f t="shared" ref="B40:AB40" si="91">((B18/B36)*($E$4/$E$3))*100</f>
        <v>#DIV/0!</v>
      </c>
      <c r="C40" s="36" t="e">
        <f t="shared" si="91"/>
        <v>#DIV/0!</v>
      </c>
      <c r="D40" s="36" t="e">
        <f t="shared" si="91"/>
        <v>#DIV/0!</v>
      </c>
      <c r="E40" s="36" t="e">
        <f t="shared" si="91"/>
        <v>#DIV/0!</v>
      </c>
      <c r="F40" s="36" t="e">
        <f t="shared" si="91"/>
        <v>#DIV/0!</v>
      </c>
      <c r="G40" s="36" t="e">
        <f t="shared" si="91"/>
        <v>#DIV/0!</v>
      </c>
      <c r="H40" s="36" t="e">
        <f t="shared" si="91"/>
        <v>#DIV/0!</v>
      </c>
      <c r="I40" s="36" t="e">
        <f t="shared" si="91"/>
        <v>#DIV/0!</v>
      </c>
      <c r="J40" s="36" t="e">
        <f t="shared" si="91"/>
        <v>#DIV/0!</v>
      </c>
      <c r="K40" s="36">
        <f t="shared" si="91"/>
        <v>28.14961973102703</v>
      </c>
      <c r="L40" s="36">
        <f t="shared" si="91"/>
        <v>29.602721439432518</v>
      </c>
      <c r="M40" s="36">
        <f t="shared" si="91"/>
        <v>30.829963620530656</v>
      </c>
      <c r="N40" s="36">
        <f t="shared" ref="N40:AA40" si="92">((N18/N36)*($E$4/$E$3))*100</f>
        <v>26.623000718375085</v>
      </c>
      <c r="O40" s="36">
        <f t="shared" si="92"/>
        <v>29.975170064498517</v>
      </c>
      <c r="P40" s="36">
        <f t="shared" si="92"/>
        <v>29.903045725595227</v>
      </c>
      <c r="Q40" s="36">
        <f t="shared" si="92"/>
        <v>35.200855364082408</v>
      </c>
      <c r="R40" s="36">
        <f t="shared" si="92"/>
        <v>39.444538510205838</v>
      </c>
      <c r="S40" s="36">
        <f t="shared" si="92"/>
        <v>30.484232573772772</v>
      </c>
      <c r="T40" s="36">
        <f t="shared" si="92"/>
        <v>30.169165635097457</v>
      </c>
      <c r="U40" s="36">
        <f t="shared" si="92"/>
        <v>35.929387676255146</v>
      </c>
      <c r="V40" s="36">
        <f t="shared" ref="V40:Z40" si="93">((V18/V36)*($E$4/$E$3))*100</f>
        <v>25.050555119597785</v>
      </c>
      <c r="W40" s="36">
        <f t="shared" si="93"/>
        <v>35.094942481499345</v>
      </c>
      <c r="X40" s="36">
        <f t="shared" si="93"/>
        <v>32.866910502067803</v>
      </c>
      <c r="Y40" s="36">
        <f t="shared" si="93"/>
        <v>33.100598456018432</v>
      </c>
      <c r="Z40" s="36">
        <f t="shared" si="93"/>
        <v>29.704352212010516</v>
      </c>
      <c r="AA40" s="36">
        <f t="shared" si="92"/>
        <v>27.651634977677077</v>
      </c>
      <c r="AB40" s="36">
        <f t="shared" si="91"/>
        <v>29.136332915859576</v>
      </c>
      <c r="AC40" s="36"/>
      <c r="AD40" s="42"/>
      <c r="AE40" s="33"/>
      <c r="AF40" s="33"/>
      <c r="AG40" s="33"/>
      <c r="AH40" s="33"/>
      <c r="AI40" s="33"/>
      <c r="AJ40" s="33"/>
      <c r="AK40" s="33"/>
      <c r="AL40" s="33"/>
      <c r="AM40" s="29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29"/>
      <c r="BB40" s="33"/>
      <c r="BC40" s="33"/>
      <c r="BD40" s="33"/>
      <c r="BE40" s="33"/>
      <c r="BF40" s="33"/>
      <c r="BG40" s="33"/>
      <c r="BH40" s="29">
        <f t="shared" ref="BH40:BJ40" si="94">SUM(BH6:BH38)</f>
        <v>100</v>
      </c>
      <c r="BI40" s="29">
        <f t="shared" si="94"/>
        <v>99.999999999999986</v>
      </c>
      <c r="BJ40" s="29">
        <f t="shared" si="94"/>
        <v>100.00000000000003</v>
      </c>
      <c r="BK40" s="29">
        <f t="shared" ref="BK40:CD40" si="95">SUM(BK6:BK38)</f>
        <v>99.999999999999986</v>
      </c>
      <c r="BL40" s="29">
        <f t="shared" si="95"/>
        <v>99.999999999999986</v>
      </c>
      <c r="BM40" s="29">
        <f t="shared" si="95"/>
        <v>100</v>
      </c>
      <c r="BN40" s="29">
        <f t="shared" si="95"/>
        <v>100.00000000000001</v>
      </c>
      <c r="BO40" s="29">
        <f t="shared" si="95"/>
        <v>100</v>
      </c>
      <c r="BP40" s="29">
        <f t="shared" si="95"/>
        <v>100.00000000000001</v>
      </c>
      <c r="BQ40" s="29">
        <f t="shared" si="95"/>
        <v>100</v>
      </c>
      <c r="BR40" s="29">
        <f t="shared" si="95"/>
        <v>100</v>
      </c>
      <c r="BS40" s="29">
        <f t="shared" si="95"/>
        <v>100</v>
      </c>
      <c r="BT40" s="29">
        <f t="shared" si="95"/>
        <v>99.999999999999986</v>
      </c>
      <c r="BU40" s="29">
        <f t="shared" si="95"/>
        <v>100</v>
      </c>
      <c r="BV40" s="29">
        <f t="shared" si="95"/>
        <v>99.999999999999986</v>
      </c>
      <c r="BW40" s="29">
        <f t="shared" si="95"/>
        <v>99.999999999999986</v>
      </c>
      <c r="BX40" s="29">
        <f t="shared" si="95"/>
        <v>99.999999999999986</v>
      </c>
      <c r="BY40" s="29">
        <f t="shared" si="95"/>
        <v>99.999999999999986</v>
      </c>
      <c r="BZ40" s="29">
        <f t="shared" si="95"/>
        <v>100</v>
      </c>
      <c r="CA40" s="29">
        <f t="shared" si="95"/>
        <v>100</v>
      </c>
      <c r="CB40" s="29">
        <f t="shared" si="95"/>
        <v>100</v>
      </c>
      <c r="CC40" s="29">
        <f t="shared" si="95"/>
        <v>100</v>
      </c>
      <c r="CD40" s="29">
        <f t="shared" si="95"/>
        <v>100.00000000000001</v>
      </c>
      <c r="CE40" s="29">
        <f t="shared" ref="CE40:CH40" si="96">SUM(CE6:CE38)</f>
        <v>99.999999999999986</v>
      </c>
      <c r="CF40" s="29">
        <f t="shared" si="96"/>
        <v>100.00000000000001</v>
      </c>
      <c r="CG40" s="29">
        <f t="shared" si="96"/>
        <v>100</v>
      </c>
      <c r="CH40" s="29">
        <f t="shared" si="96"/>
        <v>100</v>
      </c>
      <c r="CI40" s="45"/>
    </row>
    <row r="41" spans="1:111" x14ac:dyDescent="0.2">
      <c r="E41" s="43"/>
      <c r="F41" s="43"/>
      <c r="AD41" s="37"/>
      <c r="AE41" s="17"/>
      <c r="AF41" s="17"/>
      <c r="AG41" s="17"/>
      <c r="AH41" s="17"/>
      <c r="AI41" s="17"/>
      <c r="AJ41" s="17"/>
      <c r="AK41" s="17"/>
      <c r="AM41" s="17"/>
      <c r="AP41" s="17"/>
      <c r="AQ41" s="17"/>
      <c r="AR41" s="17"/>
      <c r="AS41" s="17"/>
      <c r="AT41" s="17"/>
      <c r="AU41" s="17"/>
      <c r="AW41" s="17"/>
      <c r="AX41" s="17"/>
      <c r="AY41" s="17"/>
      <c r="BA41" s="17"/>
      <c r="BH41" s="29"/>
      <c r="BI41" s="29"/>
      <c r="BJ41" s="29"/>
      <c r="BK41" s="29"/>
      <c r="BL41" s="29"/>
      <c r="BM41" s="29"/>
      <c r="BN41" s="29"/>
      <c r="BO41" s="29"/>
      <c r="BP41" s="29"/>
      <c r="BQ41" s="18"/>
      <c r="BT41" s="29"/>
      <c r="BU41" s="29"/>
      <c r="BV41" s="29"/>
      <c r="BW41" s="29"/>
      <c r="BX41" s="29"/>
      <c r="BY41" s="29"/>
      <c r="BZ41" s="29"/>
      <c r="CA41" s="18"/>
      <c r="CE41" s="45"/>
      <c r="CF41" s="45"/>
      <c r="CG41" s="45"/>
      <c r="CH41" s="45"/>
      <c r="CI41" s="45"/>
    </row>
    <row r="42" spans="1:111" x14ac:dyDescent="0.2">
      <c r="A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E42" s="13">
        <v>1148.8714135693433</v>
      </c>
      <c r="AF42" s="13">
        <v>1037.8931887025985</v>
      </c>
      <c r="AG42" s="13">
        <v>1024.3357378769842</v>
      </c>
      <c r="AH42" s="13">
        <v>1101.5282616383449</v>
      </c>
      <c r="AI42" s="13">
        <v>1134.4794261352044</v>
      </c>
      <c r="AJ42" s="13">
        <v>1174.5705223134548</v>
      </c>
      <c r="AK42" s="13">
        <v>1065.8984734376345</v>
      </c>
      <c r="AL42" s="13">
        <v>1201.1955284304968</v>
      </c>
      <c r="AM42" s="13">
        <v>1187.9506007766981</v>
      </c>
      <c r="AN42" s="13">
        <v>1240.2399511666877</v>
      </c>
      <c r="AO42" s="13">
        <v>1334.9673882789796</v>
      </c>
      <c r="AP42" s="13">
        <v>1418.4385099299052</v>
      </c>
      <c r="AQ42" s="13">
        <v>1280.8450051700036</v>
      </c>
      <c r="AR42" s="13">
        <v>1242.3431598788222</v>
      </c>
      <c r="AS42" s="13">
        <v>1109.1776607888758</v>
      </c>
      <c r="AT42" s="13">
        <v>1142.5514006517337</v>
      </c>
      <c r="AU42" s="13">
        <v>1446.3266305996347</v>
      </c>
      <c r="AV42" s="13">
        <v>1342.8449207118626</v>
      </c>
      <c r="AW42" s="13">
        <v>1339.4102339821704</v>
      </c>
      <c r="AX42" s="13">
        <v>1712.0288772712036</v>
      </c>
      <c r="AY42" s="13">
        <v>1447.6788332553158</v>
      </c>
      <c r="AZ42" s="13">
        <v>1350.444625170499</v>
      </c>
      <c r="BA42" s="13">
        <v>1524.8404500339509</v>
      </c>
      <c r="BB42" s="13">
        <v>1554.7383881392313</v>
      </c>
      <c r="BC42" s="13">
        <v>1413.0583442105851</v>
      </c>
      <c r="BD42" s="13">
        <v>1627.9728508497053</v>
      </c>
      <c r="BE42" s="13">
        <v>1786.1180562961797</v>
      </c>
    </row>
  </sheetData>
  <pageMargins left="0.74803149606299213" right="0.74803149606299213" top="0.98425196850393704" bottom="0.98425196850393704" header="0.51181102362204722" footer="0.51181102362204722"/>
  <pageSetup paperSize="9" scale="39" orientation="landscape" r:id="rId1"/>
  <headerFooter alignWithMargins="0"/>
  <colBreaks count="1" manualBreakCount="1">
    <brk id="6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"/>
  <sheetViews>
    <sheetView workbookViewId="0">
      <selection activeCell="I13" sqref="I13"/>
    </sheetView>
  </sheetViews>
  <sheetFormatPr defaultRowHeight="12.75" x14ac:dyDescent="0.2"/>
  <cols>
    <col min="1" max="1" width="17.42578125" bestFit="1" customWidth="1"/>
    <col min="6" max="6" width="11.42578125" customWidth="1"/>
    <col min="9" max="9" width="9.140625" style="5"/>
    <col min="10" max="10" width="14.5703125" style="5" customWidth="1"/>
    <col min="11" max="11" width="11.140625" style="5" customWidth="1"/>
    <col min="12" max="12" width="12.7109375" style="5" customWidth="1"/>
    <col min="13" max="13" width="9.140625" style="5"/>
    <col min="14" max="14" width="13.140625" style="5" customWidth="1"/>
    <col min="15" max="15" width="11.140625" style="5" customWidth="1"/>
  </cols>
  <sheetData>
    <row r="1" spans="1:15" x14ac:dyDescent="0.2">
      <c r="A1" s="1" t="s">
        <v>9</v>
      </c>
      <c r="B1" s="61">
        <v>0.66666666666666663</v>
      </c>
      <c r="C1" s="3"/>
      <c r="D1" s="2"/>
      <c r="I1" s="7"/>
      <c r="M1" s="7"/>
    </row>
    <row r="2" spans="1:15" ht="38.25" x14ac:dyDescent="0.2">
      <c r="A2" s="3" t="s">
        <v>0</v>
      </c>
      <c r="B2" s="3" t="s">
        <v>1</v>
      </c>
      <c r="C2" s="3">
        <v>270</v>
      </c>
      <c r="D2" s="3">
        <v>271</v>
      </c>
      <c r="E2" s="3" t="s">
        <v>2</v>
      </c>
      <c r="F2" s="4" t="s">
        <v>3</v>
      </c>
      <c r="H2" s="3" t="s">
        <v>4</v>
      </c>
      <c r="J2" s="10" t="s">
        <v>5</v>
      </c>
      <c r="K2" s="8"/>
      <c r="L2" s="10" t="s">
        <v>6</v>
      </c>
      <c r="N2" s="10" t="s">
        <v>7</v>
      </c>
      <c r="O2" s="8"/>
    </row>
    <row r="3" spans="1:15" s="5" customFormat="1" x14ac:dyDescent="0.2">
      <c r="A3" s="9"/>
      <c r="F3" s="8"/>
      <c r="J3" s="11"/>
      <c r="K3" s="8"/>
      <c r="L3" s="11"/>
      <c r="N3" s="11"/>
    </row>
    <row r="4" spans="1:15" x14ac:dyDescent="0.2">
      <c r="A4" s="55"/>
      <c r="B4" s="56" t="s">
        <v>43</v>
      </c>
      <c r="E4" s="5" t="e">
        <f>D4/C4</f>
        <v>#DIV/0!</v>
      </c>
      <c r="F4" t="e">
        <f>E4-$E$4</f>
        <v>#DIV/0!</v>
      </c>
      <c r="H4">
        <f>'GC data'!BH15</f>
        <v>29.272064259253209</v>
      </c>
      <c r="J4" s="51"/>
      <c r="L4" s="52">
        <f>(H4/100)*J4</f>
        <v>0</v>
      </c>
      <c r="N4" s="52" t="e">
        <f>L4*F4</f>
        <v>#DIV/0!</v>
      </c>
    </row>
    <row r="5" spans="1:15" x14ac:dyDescent="0.2">
      <c r="A5" s="55"/>
      <c r="B5" s="56"/>
      <c r="C5" s="56"/>
      <c r="E5" s="5"/>
      <c r="J5" s="51"/>
      <c r="L5" s="52"/>
      <c r="N5" s="52"/>
    </row>
    <row r="6" spans="1:15" x14ac:dyDescent="0.2">
      <c r="A6" s="55"/>
      <c r="B6">
        <v>1</v>
      </c>
      <c r="E6" s="5" t="e">
        <f t="shared" ref="E6:E23" si="0">D6/C6</f>
        <v>#DIV/0!</v>
      </c>
      <c r="F6" t="e">
        <f t="shared" ref="F6:F23" si="1">E6-$E$4</f>
        <v>#DIV/0!</v>
      </c>
      <c r="H6">
        <f>'GC data'!BI$15</f>
        <v>28.575080703100738</v>
      </c>
      <c r="J6" s="51"/>
      <c r="L6" s="52">
        <f t="shared" ref="L6:L11" si="2">(H6/100)*J6</f>
        <v>0</v>
      </c>
      <c r="N6" s="52" t="e">
        <f t="shared" ref="N6:N11" si="3">L6*F6</f>
        <v>#DIV/0!</v>
      </c>
    </row>
    <row r="7" spans="1:15" x14ac:dyDescent="0.2">
      <c r="A7" s="55"/>
      <c r="B7">
        <v>2</v>
      </c>
      <c r="E7" s="5" t="e">
        <f t="shared" si="0"/>
        <v>#DIV/0!</v>
      </c>
      <c r="F7" t="e">
        <f t="shared" si="1"/>
        <v>#DIV/0!</v>
      </c>
      <c r="H7">
        <f>'GC data'!BJ$15</f>
        <v>29.097069889659295</v>
      </c>
      <c r="J7" s="51"/>
      <c r="L7" s="52">
        <f t="shared" si="2"/>
        <v>0</v>
      </c>
      <c r="N7" s="52" t="e">
        <f t="shared" si="3"/>
        <v>#DIV/0!</v>
      </c>
    </row>
    <row r="8" spans="1:15" x14ac:dyDescent="0.2">
      <c r="A8" s="55"/>
      <c r="B8" s="56">
        <v>3</v>
      </c>
      <c r="C8" s="56"/>
      <c r="E8" s="5" t="e">
        <f t="shared" si="0"/>
        <v>#DIV/0!</v>
      </c>
      <c r="F8" t="e">
        <f t="shared" si="1"/>
        <v>#DIV/0!</v>
      </c>
      <c r="H8">
        <f>'GC data'!BK$15</f>
        <v>31.025909997063522</v>
      </c>
      <c r="J8" s="51"/>
      <c r="L8" s="52">
        <f t="shared" si="2"/>
        <v>0</v>
      </c>
      <c r="N8" s="52" t="e">
        <f t="shared" si="3"/>
        <v>#DIV/0!</v>
      </c>
    </row>
    <row r="9" spans="1:15" x14ac:dyDescent="0.2">
      <c r="A9" s="55"/>
      <c r="B9">
        <v>4</v>
      </c>
      <c r="E9" s="5" t="e">
        <f t="shared" si="0"/>
        <v>#DIV/0!</v>
      </c>
      <c r="F9" t="e">
        <f t="shared" si="1"/>
        <v>#DIV/0!</v>
      </c>
      <c r="H9">
        <f>'GC data'!BL$15</f>
        <v>31.188030996966614</v>
      </c>
      <c r="J9" s="51"/>
      <c r="L9" s="52">
        <f t="shared" si="2"/>
        <v>0</v>
      </c>
      <c r="N9" s="52" t="e">
        <f t="shared" si="3"/>
        <v>#DIV/0!</v>
      </c>
    </row>
    <row r="10" spans="1:15" x14ac:dyDescent="0.2">
      <c r="A10" s="55"/>
      <c r="B10">
        <v>5</v>
      </c>
      <c r="E10" s="5" t="e">
        <f t="shared" si="0"/>
        <v>#DIV/0!</v>
      </c>
      <c r="F10" t="e">
        <f t="shared" si="1"/>
        <v>#DIV/0!</v>
      </c>
      <c r="H10">
        <f>'GC data'!BM$15</f>
        <v>30.893427372897008</v>
      </c>
      <c r="J10" s="51"/>
      <c r="L10" s="52">
        <f t="shared" si="2"/>
        <v>0</v>
      </c>
      <c r="N10" s="52" t="e">
        <f t="shared" si="3"/>
        <v>#DIV/0!</v>
      </c>
    </row>
    <row r="11" spans="1:15" x14ac:dyDescent="0.2">
      <c r="A11" s="55"/>
      <c r="B11">
        <v>6</v>
      </c>
      <c r="E11" s="5" t="e">
        <f t="shared" si="0"/>
        <v>#DIV/0!</v>
      </c>
      <c r="F11" t="e">
        <f t="shared" si="1"/>
        <v>#DIV/0!</v>
      </c>
      <c r="H11">
        <f>'GC data'!BN$15</f>
        <v>32.88113139549489</v>
      </c>
      <c r="J11" s="51"/>
      <c r="L11" s="52">
        <f t="shared" si="2"/>
        <v>0</v>
      </c>
      <c r="N11" s="52" t="e">
        <f t="shared" si="3"/>
        <v>#DIV/0!</v>
      </c>
    </row>
    <row r="12" spans="1:15" x14ac:dyDescent="0.2">
      <c r="A12" s="6"/>
      <c r="B12">
        <v>7</v>
      </c>
      <c r="E12" s="5" t="e">
        <f t="shared" si="0"/>
        <v>#DIV/0!</v>
      </c>
      <c r="F12" t="e">
        <f t="shared" si="1"/>
        <v>#DIV/0!</v>
      </c>
      <c r="H12">
        <f>'GC data'!BO$15</f>
        <v>33.800365111129516</v>
      </c>
      <c r="J12" s="51"/>
      <c r="L12" s="52"/>
    </row>
    <row r="13" spans="1:15" x14ac:dyDescent="0.2">
      <c r="A13" s="12"/>
      <c r="B13">
        <v>8</v>
      </c>
      <c r="E13" s="5" t="e">
        <f t="shared" si="0"/>
        <v>#DIV/0!</v>
      </c>
      <c r="F13" t="e">
        <f t="shared" si="1"/>
        <v>#DIV/0!</v>
      </c>
      <c r="H13">
        <f>'GC data'!BP$15</f>
        <v>33.97764957597775</v>
      </c>
      <c r="L13" s="52"/>
    </row>
    <row r="14" spans="1:15" x14ac:dyDescent="0.2">
      <c r="A14" s="55"/>
      <c r="B14" s="56">
        <v>9</v>
      </c>
      <c r="C14" s="56"/>
      <c r="E14" s="5" t="e">
        <f t="shared" si="0"/>
        <v>#DIV/0!</v>
      </c>
      <c r="F14" t="e">
        <f t="shared" si="1"/>
        <v>#DIV/0!</v>
      </c>
      <c r="H14">
        <f>'GC data'!BO$15</f>
        <v>33.800365111129516</v>
      </c>
      <c r="J14" s="51"/>
      <c r="L14" s="52">
        <f t="shared" ref="L14:L23" si="4">(H14/100)*J14</f>
        <v>0</v>
      </c>
      <c r="N14" s="5" t="e">
        <f t="shared" ref="N14:N23" si="5">L14*F14</f>
        <v>#DIV/0!</v>
      </c>
    </row>
    <row r="15" spans="1:15" x14ac:dyDescent="0.2">
      <c r="A15" s="55"/>
      <c r="B15">
        <v>10</v>
      </c>
      <c r="E15" s="5" t="e">
        <f t="shared" si="0"/>
        <v>#DIV/0!</v>
      </c>
      <c r="F15" t="e">
        <f t="shared" si="1"/>
        <v>#DIV/0!</v>
      </c>
      <c r="H15">
        <f>'GC data'!BP$15</f>
        <v>33.97764957597775</v>
      </c>
      <c r="J15" s="51"/>
      <c r="L15" s="52">
        <f t="shared" si="4"/>
        <v>0</v>
      </c>
      <c r="N15" s="5" t="e">
        <f t="shared" si="5"/>
        <v>#DIV/0!</v>
      </c>
    </row>
    <row r="16" spans="1:15" x14ac:dyDescent="0.2">
      <c r="A16" s="55"/>
      <c r="B16">
        <v>11</v>
      </c>
      <c r="E16" s="5" t="e">
        <f t="shared" si="0"/>
        <v>#DIV/0!</v>
      </c>
      <c r="F16" t="e">
        <f t="shared" si="1"/>
        <v>#DIV/0!</v>
      </c>
      <c r="H16">
        <f>'GC data'!BQ$15</f>
        <v>22.076669195859331</v>
      </c>
      <c r="J16" s="51"/>
      <c r="L16" s="52">
        <f t="shared" si="4"/>
        <v>0</v>
      </c>
      <c r="N16" s="5" t="e">
        <f t="shared" si="5"/>
        <v>#DIV/0!</v>
      </c>
    </row>
    <row r="17" spans="1:14" x14ac:dyDescent="0.2">
      <c r="A17" s="55"/>
      <c r="B17" s="56">
        <v>12</v>
      </c>
      <c r="C17" s="56"/>
      <c r="E17" s="5" t="e">
        <f t="shared" si="0"/>
        <v>#DIV/0!</v>
      </c>
      <c r="F17" t="e">
        <f t="shared" si="1"/>
        <v>#DIV/0!</v>
      </c>
      <c r="H17">
        <f>'GC data'!BR$15</f>
        <v>20.692454140378437</v>
      </c>
      <c r="J17" s="51"/>
      <c r="L17" s="52">
        <f t="shared" si="4"/>
        <v>0</v>
      </c>
      <c r="N17" s="5" t="e">
        <f t="shared" si="5"/>
        <v>#DIV/0!</v>
      </c>
    </row>
    <row r="18" spans="1:14" x14ac:dyDescent="0.2">
      <c r="A18" s="55"/>
      <c r="B18">
        <v>13</v>
      </c>
      <c r="E18" s="5" t="e">
        <f t="shared" si="0"/>
        <v>#DIV/0!</v>
      </c>
      <c r="F18" t="e">
        <f t="shared" si="1"/>
        <v>#DIV/0!</v>
      </c>
      <c r="H18">
        <f>'GC data'!BS$15</f>
        <v>23.277871673343014</v>
      </c>
      <c r="J18" s="51"/>
      <c r="L18" s="52">
        <f t="shared" si="4"/>
        <v>0</v>
      </c>
      <c r="N18" s="5" t="e">
        <f t="shared" si="5"/>
        <v>#DIV/0!</v>
      </c>
    </row>
    <row r="19" spans="1:14" x14ac:dyDescent="0.2">
      <c r="A19" s="55"/>
      <c r="B19">
        <v>14</v>
      </c>
      <c r="E19" s="5" t="e">
        <f t="shared" si="0"/>
        <v>#DIV/0!</v>
      </c>
      <c r="F19" t="e">
        <f t="shared" si="1"/>
        <v>#DIV/0!</v>
      </c>
      <c r="H19">
        <f>'GC data'!CD$15</f>
        <v>26.9320026005337</v>
      </c>
      <c r="J19" s="51"/>
      <c r="L19" s="52">
        <f t="shared" si="4"/>
        <v>0</v>
      </c>
      <c r="N19" s="5" t="e">
        <f t="shared" si="5"/>
        <v>#DIV/0!</v>
      </c>
    </row>
    <row r="20" spans="1:14" x14ac:dyDescent="0.2">
      <c r="A20" s="55"/>
      <c r="B20" s="56">
        <v>15</v>
      </c>
      <c r="C20" s="56"/>
      <c r="E20" s="5" t="e">
        <f t="shared" si="0"/>
        <v>#DIV/0!</v>
      </c>
      <c r="F20" t="e">
        <f t="shared" si="1"/>
        <v>#DIV/0!</v>
      </c>
      <c r="H20" t="e">
        <f>'GC data'!#REF!</f>
        <v>#REF!</v>
      </c>
      <c r="J20" s="51"/>
      <c r="L20" s="52" t="e">
        <f t="shared" si="4"/>
        <v>#REF!</v>
      </c>
      <c r="N20" s="5" t="e">
        <f t="shared" si="5"/>
        <v>#REF!</v>
      </c>
    </row>
    <row r="21" spans="1:14" x14ac:dyDescent="0.2">
      <c r="A21" s="55"/>
      <c r="B21">
        <v>16</v>
      </c>
      <c r="E21" s="5" t="e">
        <f t="shared" si="0"/>
        <v>#DIV/0!</v>
      </c>
      <c r="F21" t="e">
        <f t="shared" si="1"/>
        <v>#DIV/0!</v>
      </c>
      <c r="H21" t="e">
        <f>'GC data'!#REF!</f>
        <v>#REF!</v>
      </c>
      <c r="J21" s="51"/>
      <c r="L21" s="52" t="e">
        <f t="shared" si="4"/>
        <v>#REF!</v>
      </c>
      <c r="N21" s="5" t="e">
        <f t="shared" si="5"/>
        <v>#REF!</v>
      </c>
    </row>
    <row r="22" spans="1:14" x14ac:dyDescent="0.2">
      <c r="A22" s="55"/>
      <c r="B22">
        <v>17</v>
      </c>
      <c r="E22" s="5" t="e">
        <f t="shared" si="0"/>
        <v>#DIV/0!</v>
      </c>
      <c r="F22" t="e">
        <f t="shared" si="1"/>
        <v>#DIV/0!</v>
      </c>
      <c r="H22" t="e">
        <f>'GC data'!#REF!</f>
        <v>#REF!</v>
      </c>
      <c r="J22" s="51"/>
      <c r="L22" s="52" t="e">
        <f t="shared" si="4"/>
        <v>#REF!</v>
      </c>
      <c r="N22" s="5" t="e">
        <f t="shared" si="5"/>
        <v>#REF!</v>
      </c>
    </row>
    <row r="23" spans="1:14" x14ac:dyDescent="0.2">
      <c r="A23" s="55"/>
      <c r="B23">
        <v>18</v>
      </c>
      <c r="E23" s="5" t="e">
        <f t="shared" si="0"/>
        <v>#DIV/0!</v>
      </c>
      <c r="F23" t="e">
        <f t="shared" si="1"/>
        <v>#DIV/0!</v>
      </c>
      <c r="H23" t="e">
        <f>'GC data'!#REF!</f>
        <v>#REF!</v>
      </c>
      <c r="J23" s="51"/>
      <c r="L23" s="52" t="e">
        <f t="shared" si="4"/>
        <v>#REF!</v>
      </c>
      <c r="N23" s="5" t="e">
        <f t="shared" si="5"/>
        <v>#REF!</v>
      </c>
    </row>
    <row r="24" spans="1:14" x14ac:dyDescent="0.2">
      <c r="A24" s="55"/>
      <c r="E24" s="5"/>
      <c r="J24" s="51"/>
      <c r="L24" s="52"/>
    </row>
    <row r="25" spans="1:14" x14ac:dyDescent="0.2">
      <c r="A25" s="55"/>
      <c r="B25" s="5"/>
      <c r="C25" s="5"/>
      <c r="D25" s="56"/>
      <c r="E25" s="5"/>
      <c r="F25" s="5"/>
      <c r="G25" s="5"/>
      <c r="H25" s="5"/>
      <c r="J25" s="51"/>
      <c r="L25" s="52"/>
    </row>
    <row r="26" spans="1:14" x14ac:dyDescent="0.2">
      <c r="A26" s="6"/>
      <c r="B26" s="5"/>
      <c r="C26" s="5"/>
      <c r="D26" s="5"/>
      <c r="E26" s="5"/>
      <c r="F26" s="5"/>
      <c r="G26" s="5"/>
      <c r="H26" s="5"/>
    </row>
    <row r="27" spans="1:14" x14ac:dyDescent="0.2">
      <c r="A27" s="60">
        <v>0.66736111111111107</v>
      </c>
      <c r="B27" s="5"/>
      <c r="C27" s="5"/>
      <c r="D27" s="5"/>
      <c r="E27" s="5"/>
      <c r="F27" s="5"/>
      <c r="G27" s="5"/>
      <c r="H27" s="5"/>
    </row>
    <row r="28" spans="1:14" ht="38.25" x14ac:dyDescent="0.2">
      <c r="A28" s="3" t="s">
        <v>0</v>
      </c>
      <c r="B28" s="3" t="s">
        <v>1</v>
      </c>
      <c r="C28" s="3">
        <v>268</v>
      </c>
      <c r="D28" s="3">
        <v>269</v>
      </c>
      <c r="E28" s="3" t="s">
        <v>2</v>
      </c>
      <c r="F28" s="4" t="s">
        <v>3</v>
      </c>
      <c r="H28" s="3" t="s">
        <v>37</v>
      </c>
      <c r="J28" s="10" t="s">
        <v>5</v>
      </c>
      <c r="K28" s="8"/>
      <c r="L28" s="10" t="s">
        <v>38</v>
      </c>
      <c r="N28" s="10" t="s">
        <v>39</v>
      </c>
    </row>
    <row r="29" spans="1:14" x14ac:dyDescent="0.2">
      <c r="A29" s="9"/>
      <c r="B29" s="5"/>
      <c r="C29" s="5"/>
      <c r="D29" s="5"/>
      <c r="E29" s="5"/>
      <c r="F29" s="8"/>
      <c r="G29" s="5"/>
      <c r="H29" s="5"/>
      <c r="J29" s="11"/>
      <c r="K29" s="8"/>
      <c r="L29" s="11"/>
      <c r="N29" s="11"/>
    </row>
    <row r="30" spans="1:14" x14ac:dyDescent="0.2">
      <c r="A30" s="55"/>
      <c r="B30" s="56" t="s">
        <v>43</v>
      </c>
      <c r="E30" s="5">
        <f>((D30/1000)+1)*0.0112372*17/16</f>
        <v>1.1939524999999999E-2</v>
      </c>
      <c r="F30">
        <f t="shared" ref="F30:F37" si="6">E30-$E$30</f>
        <v>0</v>
      </c>
      <c r="H30" t="e">
        <f>'GC data'!#REF!</f>
        <v>#REF!</v>
      </c>
      <c r="J30" s="51">
        <f t="shared" ref="J30:J37" si="7">J4</f>
        <v>0</v>
      </c>
      <c r="L30" s="52" t="e">
        <f>(H30/100)*J30</f>
        <v>#REF!</v>
      </c>
      <c r="N30" s="52" t="e">
        <f>L30*F30</f>
        <v>#REF!</v>
      </c>
    </row>
    <row r="31" spans="1:14" x14ac:dyDescent="0.2">
      <c r="A31" s="55"/>
      <c r="B31" s="56"/>
      <c r="C31" s="56"/>
      <c r="E31" s="5">
        <f t="shared" ref="E31:E37" si="8">((D31/1000)+1)*0.0112372*17/16</f>
        <v>1.1939524999999999E-2</v>
      </c>
      <c r="F31">
        <f t="shared" si="6"/>
        <v>0</v>
      </c>
      <c r="H31">
        <f>'GC data'!BH$17</f>
        <v>7.2062706615063892</v>
      </c>
      <c r="J31" s="51">
        <f t="shared" si="7"/>
        <v>0</v>
      </c>
      <c r="L31" s="52">
        <f t="shared" ref="L31:L37" si="9">(H31/100)*J31</f>
        <v>0</v>
      </c>
      <c r="N31" s="52">
        <f t="shared" ref="N31:N37" si="10">L31*F31</f>
        <v>0</v>
      </c>
    </row>
    <row r="32" spans="1:14" x14ac:dyDescent="0.2">
      <c r="A32" s="55"/>
      <c r="B32">
        <v>1</v>
      </c>
      <c r="E32" s="5">
        <f t="shared" si="8"/>
        <v>1.1939524999999999E-2</v>
      </c>
      <c r="F32">
        <f t="shared" si="6"/>
        <v>0</v>
      </c>
      <c r="H32">
        <f>'GC data'!BI$17</f>
        <v>6.7331220247519203</v>
      </c>
      <c r="J32" s="51">
        <f t="shared" si="7"/>
        <v>0</v>
      </c>
      <c r="L32" s="52">
        <f t="shared" si="9"/>
        <v>0</v>
      </c>
      <c r="N32" s="52">
        <f t="shared" si="10"/>
        <v>0</v>
      </c>
    </row>
    <row r="33" spans="1:14" x14ac:dyDescent="0.2">
      <c r="A33" s="55"/>
      <c r="B33">
        <v>2</v>
      </c>
      <c r="E33" s="5">
        <f t="shared" si="8"/>
        <v>1.1939524999999999E-2</v>
      </c>
      <c r="F33">
        <f t="shared" si="6"/>
        <v>0</v>
      </c>
      <c r="H33">
        <f>'GC data'!BJ$17</f>
        <v>6.919208664266427</v>
      </c>
      <c r="J33" s="51">
        <f t="shared" si="7"/>
        <v>0</v>
      </c>
      <c r="L33" s="52">
        <f t="shared" si="9"/>
        <v>0</v>
      </c>
      <c r="N33" s="52">
        <f t="shared" si="10"/>
        <v>0</v>
      </c>
    </row>
    <row r="34" spans="1:14" x14ac:dyDescent="0.2">
      <c r="A34" s="55"/>
      <c r="B34" s="56">
        <v>3</v>
      </c>
      <c r="C34" s="56"/>
      <c r="E34" s="5">
        <f t="shared" si="8"/>
        <v>1.1939524999999999E-2</v>
      </c>
      <c r="F34">
        <f t="shared" si="6"/>
        <v>0</v>
      </c>
      <c r="H34">
        <f>'GC data'!BK$17</f>
        <v>0</v>
      </c>
      <c r="J34" s="51">
        <f t="shared" si="7"/>
        <v>0</v>
      </c>
      <c r="L34" s="52">
        <f t="shared" si="9"/>
        <v>0</v>
      </c>
      <c r="N34" s="52">
        <f t="shared" si="10"/>
        <v>0</v>
      </c>
    </row>
    <row r="35" spans="1:14" x14ac:dyDescent="0.2">
      <c r="A35" s="55"/>
      <c r="B35">
        <v>4</v>
      </c>
      <c r="E35" s="5">
        <f t="shared" si="8"/>
        <v>1.1939524999999999E-2</v>
      </c>
      <c r="F35">
        <f t="shared" si="6"/>
        <v>0</v>
      </c>
      <c r="H35">
        <f>'GC data'!BL$17</f>
        <v>0</v>
      </c>
      <c r="J35" s="51">
        <f t="shared" si="7"/>
        <v>0</v>
      </c>
      <c r="L35" s="52">
        <f t="shared" si="9"/>
        <v>0</v>
      </c>
      <c r="N35" s="52">
        <f t="shared" si="10"/>
        <v>0</v>
      </c>
    </row>
    <row r="36" spans="1:14" x14ac:dyDescent="0.2">
      <c r="A36" s="55"/>
      <c r="B36">
        <v>5</v>
      </c>
      <c r="E36" s="5">
        <f t="shared" si="8"/>
        <v>1.1939524999999999E-2</v>
      </c>
      <c r="F36">
        <f t="shared" si="6"/>
        <v>0</v>
      </c>
      <c r="H36">
        <f>'GC data'!BM$17</f>
        <v>0</v>
      </c>
      <c r="J36" s="51">
        <f t="shared" si="7"/>
        <v>0</v>
      </c>
      <c r="L36" s="52">
        <f t="shared" si="9"/>
        <v>0</v>
      </c>
      <c r="N36" s="52">
        <f t="shared" si="10"/>
        <v>0</v>
      </c>
    </row>
    <row r="37" spans="1:14" x14ac:dyDescent="0.2">
      <c r="A37" s="55"/>
      <c r="B37">
        <v>6</v>
      </c>
      <c r="E37" s="5">
        <f t="shared" si="8"/>
        <v>1.1939524999999999E-2</v>
      </c>
      <c r="F37">
        <f t="shared" si="6"/>
        <v>0</v>
      </c>
      <c r="H37">
        <f>'GC data'!BN$17</f>
        <v>0</v>
      </c>
      <c r="J37" s="51">
        <f t="shared" si="7"/>
        <v>0</v>
      </c>
      <c r="L37" s="52">
        <f t="shared" si="9"/>
        <v>0</v>
      </c>
      <c r="N37" s="52">
        <f t="shared" si="10"/>
        <v>0</v>
      </c>
    </row>
    <row r="38" spans="1:14" x14ac:dyDescent="0.2">
      <c r="A38" s="55"/>
      <c r="B38">
        <v>7</v>
      </c>
      <c r="E38" s="5"/>
      <c r="J38" s="51"/>
      <c r="L38" s="52"/>
    </row>
    <row r="39" spans="1:14" x14ac:dyDescent="0.2">
      <c r="A39" s="55"/>
      <c r="B39">
        <v>8</v>
      </c>
      <c r="E39" s="5"/>
      <c r="J39" s="51"/>
      <c r="L39" s="52"/>
    </row>
    <row r="40" spans="1:14" x14ac:dyDescent="0.2">
      <c r="A40" s="55"/>
      <c r="B40" s="56">
        <v>9</v>
      </c>
      <c r="C40" s="56"/>
      <c r="E40" s="5">
        <f t="shared" ref="E40:E49" si="11">((D40/1000)+1)*0.0112372*17/16</f>
        <v>1.1939524999999999E-2</v>
      </c>
      <c r="F40">
        <f t="shared" ref="F40:F49" si="12">E40-$E$40</f>
        <v>0</v>
      </c>
      <c r="H40">
        <f>'GC data'!BO$17</f>
        <v>0</v>
      </c>
      <c r="J40" s="51">
        <f t="shared" ref="J40:J49" si="13">J14</f>
        <v>0</v>
      </c>
      <c r="L40" s="52">
        <f t="shared" ref="L40:L49" si="14">(H40/100)*J40</f>
        <v>0</v>
      </c>
      <c r="N40" s="5">
        <f t="shared" ref="N40:N49" si="15">L40*F40</f>
        <v>0</v>
      </c>
    </row>
    <row r="41" spans="1:14" x14ac:dyDescent="0.2">
      <c r="A41" s="55"/>
      <c r="B41">
        <v>10</v>
      </c>
      <c r="E41" s="5">
        <f t="shared" si="11"/>
        <v>1.1939524999999999E-2</v>
      </c>
      <c r="F41">
        <f t="shared" si="12"/>
        <v>0</v>
      </c>
      <c r="H41">
        <f>'GC data'!BP$17</f>
        <v>0</v>
      </c>
      <c r="J41" s="51">
        <f t="shared" si="13"/>
        <v>0</v>
      </c>
      <c r="L41" s="52">
        <f t="shared" si="14"/>
        <v>0</v>
      </c>
      <c r="N41" s="5">
        <f t="shared" si="15"/>
        <v>0</v>
      </c>
    </row>
    <row r="42" spans="1:14" x14ac:dyDescent="0.2">
      <c r="A42" s="6"/>
      <c r="B42">
        <v>11</v>
      </c>
      <c r="E42" s="5">
        <f t="shared" si="11"/>
        <v>1.1939524999999999E-2</v>
      </c>
      <c r="F42">
        <f t="shared" si="12"/>
        <v>0</v>
      </c>
      <c r="H42">
        <f>'GC data'!BQ$17</f>
        <v>4.7685586097146375</v>
      </c>
      <c r="J42" s="51">
        <f t="shared" si="13"/>
        <v>0</v>
      </c>
      <c r="L42" s="52">
        <f t="shared" si="14"/>
        <v>0</v>
      </c>
      <c r="N42" s="5">
        <f t="shared" si="15"/>
        <v>0</v>
      </c>
    </row>
    <row r="43" spans="1:14" s="5" customFormat="1" ht="12" customHeight="1" x14ac:dyDescent="0.2">
      <c r="A43" s="12"/>
      <c r="B43" s="56">
        <v>12</v>
      </c>
      <c r="C43" s="56"/>
      <c r="D43"/>
      <c r="E43" s="5">
        <f t="shared" si="11"/>
        <v>1.1939524999999999E-2</v>
      </c>
      <c r="F43">
        <f t="shared" si="12"/>
        <v>0</v>
      </c>
      <c r="G43"/>
      <c r="H43">
        <f>'GC data'!BR$17</f>
        <v>6.1097940511596054</v>
      </c>
      <c r="J43" s="51">
        <f t="shared" si="13"/>
        <v>0</v>
      </c>
      <c r="L43" s="52">
        <f t="shared" si="14"/>
        <v>0</v>
      </c>
      <c r="N43" s="5">
        <f t="shared" si="15"/>
        <v>0</v>
      </c>
    </row>
    <row r="44" spans="1:14" s="5" customFormat="1" x14ac:dyDescent="0.2">
      <c r="A44" s="55"/>
      <c r="B44">
        <v>13</v>
      </c>
      <c r="C44"/>
      <c r="D44"/>
      <c r="E44" s="5">
        <f t="shared" si="11"/>
        <v>1.1939524999999999E-2</v>
      </c>
      <c r="F44">
        <f t="shared" si="12"/>
        <v>0</v>
      </c>
      <c r="G44"/>
      <c r="H44">
        <f>'GC data'!BS$17</f>
        <v>5.8469428711510547</v>
      </c>
      <c r="J44" s="51">
        <f t="shared" si="13"/>
        <v>0</v>
      </c>
      <c r="L44" s="52">
        <f t="shared" si="14"/>
        <v>0</v>
      </c>
      <c r="N44" s="5">
        <f t="shared" si="15"/>
        <v>0</v>
      </c>
    </row>
    <row r="45" spans="1:14" s="5" customFormat="1" x14ac:dyDescent="0.2">
      <c r="A45" s="55"/>
      <c r="B45">
        <v>14</v>
      </c>
      <c r="C45"/>
      <c r="D45"/>
      <c r="E45" s="5">
        <f t="shared" si="11"/>
        <v>1.1939524999999999E-2</v>
      </c>
      <c r="F45">
        <f t="shared" si="12"/>
        <v>0</v>
      </c>
      <c r="G45"/>
      <c r="H45">
        <f>'GC data'!CD$17</f>
        <v>0</v>
      </c>
      <c r="J45" s="51">
        <f t="shared" si="13"/>
        <v>0</v>
      </c>
      <c r="L45" s="52">
        <f t="shared" si="14"/>
        <v>0</v>
      </c>
      <c r="N45" s="5">
        <f t="shared" si="15"/>
        <v>0</v>
      </c>
    </row>
    <row r="46" spans="1:14" s="5" customFormat="1" x14ac:dyDescent="0.2">
      <c r="A46" s="55"/>
      <c r="B46" s="56">
        <v>15</v>
      </c>
      <c r="C46" s="56"/>
      <c r="D46"/>
      <c r="E46" s="5">
        <f t="shared" si="11"/>
        <v>1.1939524999999999E-2</v>
      </c>
      <c r="F46">
        <f t="shared" si="12"/>
        <v>0</v>
      </c>
      <c r="G46"/>
      <c r="H46" t="e">
        <f>'GC data'!#REF!</f>
        <v>#REF!</v>
      </c>
      <c r="J46" s="51">
        <f t="shared" si="13"/>
        <v>0</v>
      </c>
      <c r="L46" s="52" t="e">
        <f t="shared" si="14"/>
        <v>#REF!</v>
      </c>
      <c r="N46" s="5" t="e">
        <f t="shared" si="15"/>
        <v>#REF!</v>
      </c>
    </row>
    <row r="47" spans="1:14" s="5" customFormat="1" x14ac:dyDescent="0.2">
      <c r="A47" s="55"/>
      <c r="B47">
        <v>16</v>
      </c>
      <c r="C47"/>
      <c r="D47"/>
      <c r="E47" s="5">
        <f t="shared" si="11"/>
        <v>1.1939524999999999E-2</v>
      </c>
      <c r="F47">
        <f t="shared" si="12"/>
        <v>0</v>
      </c>
      <c r="G47"/>
      <c r="H47" t="e">
        <f>'GC data'!#REF!</f>
        <v>#REF!</v>
      </c>
      <c r="J47" s="51">
        <f t="shared" si="13"/>
        <v>0</v>
      </c>
      <c r="L47" s="52" t="e">
        <f t="shared" si="14"/>
        <v>#REF!</v>
      </c>
      <c r="N47" s="5" t="e">
        <f t="shared" si="15"/>
        <v>#REF!</v>
      </c>
    </row>
    <row r="48" spans="1:14" s="5" customFormat="1" x14ac:dyDescent="0.2">
      <c r="A48" s="55"/>
      <c r="B48">
        <v>17</v>
      </c>
      <c r="C48"/>
      <c r="D48"/>
      <c r="E48" s="5">
        <f t="shared" si="11"/>
        <v>1.1939524999999999E-2</v>
      </c>
      <c r="F48">
        <f t="shared" si="12"/>
        <v>0</v>
      </c>
      <c r="G48"/>
      <c r="H48" t="e">
        <f>'GC data'!#REF!</f>
        <v>#REF!</v>
      </c>
      <c r="J48" s="51">
        <f t="shared" si="13"/>
        <v>0</v>
      </c>
      <c r="L48" s="52" t="e">
        <f t="shared" si="14"/>
        <v>#REF!</v>
      </c>
      <c r="N48" s="5" t="e">
        <f t="shared" si="15"/>
        <v>#REF!</v>
      </c>
    </row>
    <row r="49" spans="1:14" s="5" customFormat="1" x14ac:dyDescent="0.2">
      <c r="A49" s="55"/>
      <c r="B49">
        <v>18</v>
      </c>
      <c r="C49"/>
      <c r="D49"/>
      <c r="E49" s="5">
        <f t="shared" si="11"/>
        <v>1.1939524999999999E-2</v>
      </c>
      <c r="F49">
        <f t="shared" si="12"/>
        <v>0</v>
      </c>
      <c r="G49"/>
      <c r="H49" t="e">
        <f>'GC data'!#REF!</f>
        <v>#REF!</v>
      </c>
      <c r="J49" s="51">
        <f t="shared" si="13"/>
        <v>0</v>
      </c>
      <c r="L49" s="52" t="e">
        <f t="shared" si="14"/>
        <v>#REF!</v>
      </c>
      <c r="N49" s="5" t="e">
        <f t="shared" si="15"/>
        <v>#REF!</v>
      </c>
    </row>
    <row r="50" spans="1:14" s="5" customFormat="1" x14ac:dyDescent="0.2">
      <c r="A50" s="55"/>
      <c r="B50"/>
      <c r="C50"/>
    </row>
    <row r="51" spans="1:14" s="5" customFormat="1" x14ac:dyDescent="0.2">
      <c r="A51" s="55"/>
    </row>
    <row r="52" spans="1:14" s="5" customFormat="1" x14ac:dyDescent="0.2">
      <c r="A52" s="55"/>
      <c r="B52"/>
      <c r="C52"/>
      <c r="D52"/>
      <c r="F52"/>
      <c r="G52"/>
      <c r="H52"/>
      <c r="J52" s="51"/>
      <c r="L52" s="52"/>
    </row>
    <row r="53" spans="1:14" s="5" customFormat="1" x14ac:dyDescent="0.2">
      <c r="A53" s="55"/>
      <c r="B53"/>
      <c r="C53"/>
      <c r="D53"/>
      <c r="E53"/>
      <c r="F53"/>
      <c r="G53"/>
      <c r="H53"/>
    </row>
    <row r="54" spans="1:14" s="5" customFormat="1" ht="38.25" x14ac:dyDescent="0.2">
      <c r="A54" s="3" t="s">
        <v>0</v>
      </c>
      <c r="B54" s="3" t="s">
        <v>1</v>
      </c>
      <c r="C54" s="3">
        <v>270</v>
      </c>
      <c r="D54" s="3">
        <v>271</v>
      </c>
      <c r="E54" s="3" t="s">
        <v>2</v>
      </c>
      <c r="F54" s="4" t="s">
        <v>3</v>
      </c>
      <c r="G54"/>
      <c r="H54" s="57" t="s">
        <v>41</v>
      </c>
      <c r="J54" s="10" t="s">
        <v>5</v>
      </c>
      <c r="K54" s="8"/>
      <c r="L54" s="10" t="s">
        <v>40</v>
      </c>
      <c r="N54" s="10" t="s">
        <v>42</v>
      </c>
    </row>
    <row r="55" spans="1:14" s="5" customFormat="1" x14ac:dyDescent="0.2">
      <c r="A55" s="9"/>
      <c r="F55" s="8"/>
      <c r="J55" s="11"/>
      <c r="K55" s="8"/>
      <c r="L55" s="11"/>
      <c r="N55" s="11"/>
    </row>
    <row r="56" spans="1:14" s="5" customFormat="1" x14ac:dyDescent="0.2">
      <c r="A56" s="55"/>
      <c r="B56" s="56" t="s">
        <v>43</v>
      </c>
      <c r="C56"/>
      <c r="D56"/>
      <c r="E56" s="5">
        <f>((D56/1000)+1)*0.0112372*17/16</f>
        <v>1.1939524999999999E-2</v>
      </c>
      <c r="F56" t="e">
        <f t="shared" ref="F56:F63" si="16">E56-$E$4</f>
        <v>#DIV/0!</v>
      </c>
      <c r="G56"/>
      <c r="H56" t="e">
        <f>'GC data'!#REF!</f>
        <v>#REF!</v>
      </c>
      <c r="J56" s="51">
        <f>J4</f>
        <v>0</v>
      </c>
      <c r="L56" s="52" t="e">
        <f>(H56/100)*J56</f>
        <v>#REF!</v>
      </c>
      <c r="N56" s="52" t="e">
        <f>L56*F56</f>
        <v>#REF!</v>
      </c>
    </row>
    <row r="57" spans="1:14" s="5" customFormat="1" x14ac:dyDescent="0.2">
      <c r="A57" s="55"/>
      <c r="B57" s="56"/>
      <c r="C57" s="56"/>
      <c r="D57"/>
      <c r="E57" s="5">
        <f t="shared" ref="E57:E63" si="17">((D57/1000)+1)*0.0112372*17/16</f>
        <v>1.1939524999999999E-2</v>
      </c>
      <c r="F57" t="e">
        <f t="shared" si="16"/>
        <v>#DIV/0!</v>
      </c>
      <c r="G57"/>
      <c r="H57">
        <f>'GC data'!BH$23</f>
        <v>5.4293352980214644</v>
      </c>
      <c r="J57" s="51">
        <f t="shared" ref="J57:J75" si="18">J5</f>
        <v>0</v>
      </c>
      <c r="L57" s="52">
        <f t="shared" ref="L57:L63" si="19">(H57/100)*J57</f>
        <v>0</v>
      </c>
      <c r="N57" s="52" t="e">
        <f t="shared" ref="N57:N63" si="20">L57*F57</f>
        <v>#DIV/0!</v>
      </c>
    </row>
    <row r="58" spans="1:14" s="5" customFormat="1" x14ac:dyDescent="0.2">
      <c r="A58" s="55"/>
      <c r="B58">
        <v>1</v>
      </c>
      <c r="C58"/>
      <c r="D58"/>
      <c r="E58" s="5">
        <f t="shared" si="17"/>
        <v>1.1939524999999999E-2</v>
      </c>
      <c r="F58" t="e">
        <f t="shared" si="16"/>
        <v>#DIV/0!</v>
      </c>
      <c r="G58"/>
      <c r="H58">
        <f>'GC data'!BI$23</f>
        <v>5.233932914119122</v>
      </c>
      <c r="J58" s="51">
        <f t="shared" si="18"/>
        <v>0</v>
      </c>
      <c r="L58" s="52">
        <f t="shared" si="19"/>
        <v>0</v>
      </c>
      <c r="N58" s="52" t="e">
        <f t="shared" si="20"/>
        <v>#DIV/0!</v>
      </c>
    </row>
    <row r="59" spans="1:14" s="5" customFormat="1" x14ac:dyDescent="0.2">
      <c r="A59" s="55"/>
      <c r="B59">
        <v>2</v>
      </c>
      <c r="C59"/>
      <c r="D59"/>
      <c r="E59" s="5">
        <f t="shared" si="17"/>
        <v>1.1939524999999999E-2</v>
      </c>
      <c r="F59" t="e">
        <f t="shared" si="16"/>
        <v>#DIV/0!</v>
      </c>
      <c r="G59"/>
      <c r="H59">
        <f>'GC data'!BJ$23</f>
        <v>5.6013473708686021</v>
      </c>
      <c r="J59" s="51">
        <f t="shared" si="18"/>
        <v>0</v>
      </c>
      <c r="L59" s="52">
        <f t="shared" si="19"/>
        <v>0</v>
      </c>
      <c r="N59" s="52" t="e">
        <f t="shared" si="20"/>
        <v>#DIV/0!</v>
      </c>
    </row>
    <row r="60" spans="1:14" s="5" customFormat="1" x14ac:dyDescent="0.2">
      <c r="A60" s="55"/>
      <c r="B60" s="56">
        <v>3</v>
      </c>
      <c r="C60" s="56"/>
      <c r="D60"/>
      <c r="E60" s="5">
        <f t="shared" si="17"/>
        <v>1.1939524999999999E-2</v>
      </c>
      <c r="F60" t="e">
        <f t="shared" si="16"/>
        <v>#DIV/0!</v>
      </c>
      <c r="G60"/>
      <c r="H60">
        <f>'GC data'!BK$23</f>
        <v>7.944366513966659</v>
      </c>
      <c r="J60" s="51">
        <f t="shared" si="18"/>
        <v>0</v>
      </c>
      <c r="L60" s="52">
        <f t="shared" si="19"/>
        <v>0</v>
      </c>
      <c r="N60" s="52" t="e">
        <f t="shared" si="20"/>
        <v>#DIV/0!</v>
      </c>
    </row>
    <row r="61" spans="1:14" s="5" customFormat="1" x14ac:dyDescent="0.2">
      <c r="A61" s="55"/>
      <c r="B61">
        <v>4</v>
      </c>
      <c r="C61"/>
      <c r="D61"/>
      <c r="E61" s="5">
        <f t="shared" si="17"/>
        <v>1.1939524999999999E-2</v>
      </c>
      <c r="F61" t="e">
        <f t="shared" si="16"/>
        <v>#DIV/0!</v>
      </c>
      <c r="G61"/>
      <c r="H61">
        <f>'GC data'!BL$23</f>
        <v>8.2167362458156976</v>
      </c>
      <c r="J61" s="51">
        <f t="shared" si="18"/>
        <v>0</v>
      </c>
      <c r="L61" s="52">
        <f t="shared" si="19"/>
        <v>0</v>
      </c>
      <c r="N61" s="52" t="e">
        <f t="shared" si="20"/>
        <v>#DIV/0!</v>
      </c>
    </row>
    <row r="62" spans="1:14" s="5" customFormat="1" x14ac:dyDescent="0.2">
      <c r="A62" s="55"/>
      <c r="B62">
        <v>5</v>
      </c>
      <c r="C62"/>
      <c r="D62"/>
      <c r="E62" s="5">
        <f t="shared" si="17"/>
        <v>1.1939524999999999E-2</v>
      </c>
      <c r="F62" t="e">
        <f t="shared" si="16"/>
        <v>#DIV/0!</v>
      </c>
      <c r="G62"/>
      <c r="H62">
        <f>'GC data'!BM$23</f>
        <v>8.3104437449340374</v>
      </c>
      <c r="J62" s="51">
        <f t="shared" si="18"/>
        <v>0</v>
      </c>
      <c r="L62" s="52">
        <f t="shared" si="19"/>
        <v>0</v>
      </c>
      <c r="N62" s="52" t="e">
        <f t="shared" si="20"/>
        <v>#DIV/0!</v>
      </c>
    </row>
    <row r="63" spans="1:14" s="5" customFormat="1" x14ac:dyDescent="0.2">
      <c r="A63" s="55"/>
      <c r="B63">
        <v>6</v>
      </c>
      <c r="C63"/>
      <c r="D63"/>
      <c r="E63" s="5">
        <f t="shared" si="17"/>
        <v>1.1939524999999999E-2</v>
      </c>
      <c r="F63" t="e">
        <f t="shared" si="16"/>
        <v>#DIV/0!</v>
      </c>
      <c r="G63"/>
      <c r="H63">
        <f>'GC data'!BN$23</f>
        <v>10.553038899036483</v>
      </c>
      <c r="J63" s="51">
        <f t="shared" si="18"/>
        <v>0</v>
      </c>
      <c r="L63" s="52">
        <f t="shared" si="19"/>
        <v>0</v>
      </c>
      <c r="N63" s="52" t="e">
        <f t="shared" si="20"/>
        <v>#DIV/0!</v>
      </c>
    </row>
    <row r="64" spans="1:14" s="5" customFormat="1" x14ac:dyDescent="0.2">
      <c r="A64" s="6"/>
      <c r="B64">
        <v>7</v>
      </c>
      <c r="C64"/>
      <c r="D64"/>
      <c r="F64"/>
      <c r="G64"/>
      <c r="H64"/>
      <c r="J64" s="51"/>
      <c r="L64" s="52"/>
    </row>
    <row r="65" spans="1:14" s="5" customFormat="1" x14ac:dyDescent="0.2">
      <c r="A65" s="12"/>
      <c r="B65">
        <v>8</v>
      </c>
      <c r="C65"/>
      <c r="D65"/>
      <c r="F65"/>
      <c r="G65"/>
      <c r="H65"/>
      <c r="J65" s="51"/>
      <c r="L65" s="52"/>
    </row>
    <row r="66" spans="1:14" s="5" customFormat="1" x14ac:dyDescent="0.2">
      <c r="A66" s="55"/>
      <c r="B66" s="56">
        <v>9</v>
      </c>
      <c r="C66" s="56"/>
      <c r="D66"/>
      <c r="E66" s="5">
        <f t="shared" ref="E66:E75" si="21">((D66/1000)+1)*0.0112372*17/16</f>
        <v>1.1939524999999999E-2</v>
      </c>
      <c r="F66" t="e">
        <f t="shared" ref="F66:F75" si="22">E66-$E$14</f>
        <v>#DIV/0!</v>
      </c>
      <c r="G66"/>
      <c r="H66">
        <f>'GC data'!BO$23</f>
        <v>10.936201126152367</v>
      </c>
      <c r="J66" s="51">
        <f t="shared" si="18"/>
        <v>0</v>
      </c>
      <c r="L66" s="52">
        <f t="shared" ref="L66:L75" si="23">(H66/100)*J66</f>
        <v>0</v>
      </c>
      <c r="N66" s="5" t="e">
        <f t="shared" ref="N66:N75" si="24">L66*F66</f>
        <v>#DIV/0!</v>
      </c>
    </row>
    <row r="67" spans="1:14" s="5" customFormat="1" x14ac:dyDescent="0.2">
      <c r="A67" s="55"/>
      <c r="B67">
        <v>10</v>
      </c>
      <c r="C67"/>
      <c r="D67"/>
      <c r="E67" s="5">
        <f t="shared" si="21"/>
        <v>1.1939524999999999E-2</v>
      </c>
      <c r="F67" t="e">
        <f t="shared" si="22"/>
        <v>#DIV/0!</v>
      </c>
      <c r="G67"/>
      <c r="H67">
        <f>'GC data'!BP$23</f>
        <v>10.829355159121553</v>
      </c>
      <c r="J67" s="51">
        <f t="shared" si="18"/>
        <v>0</v>
      </c>
      <c r="L67" s="52">
        <f t="shared" si="23"/>
        <v>0</v>
      </c>
      <c r="N67" s="5" t="e">
        <f t="shared" si="24"/>
        <v>#DIV/0!</v>
      </c>
    </row>
    <row r="68" spans="1:14" s="5" customFormat="1" x14ac:dyDescent="0.2">
      <c r="A68" s="55"/>
      <c r="B68">
        <v>11</v>
      </c>
      <c r="C68"/>
      <c r="D68"/>
      <c r="E68" s="5">
        <f t="shared" si="21"/>
        <v>1.1939524999999999E-2</v>
      </c>
      <c r="F68" t="e">
        <f t="shared" si="22"/>
        <v>#DIV/0!</v>
      </c>
      <c r="G68"/>
      <c r="H68">
        <f>'GC data'!BQ$23</f>
        <v>4.9635282247776686</v>
      </c>
      <c r="J68" s="51">
        <f t="shared" si="18"/>
        <v>0</v>
      </c>
      <c r="L68" s="52">
        <f t="shared" si="23"/>
        <v>0</v>
      </c>
      <c r="N68" s="5" t="e">
        <f t="shared" si="24"/>
        <v>#DIV/0!</v>
      </c>
    </row>
    <row r="69" spans="1:14" s="5" customFormat="1" x14ac:dyDescent="0.2">
      <c r="A69" s="55"/>
      <c r="B69" s="56">
        <v>12</v>
      </c>
      <c r="C69" s="56"/>
      <c r="D69"/>
      <c r="E69" s="5">
        <f t="shared" si="21"/>
        <v>1.1939524999999999E-2</v>
      </c>
      <c r="F69" t="e">
        <f t="shared" si="22"/>
        <v>#DIV/0!</v>
      </c>
      <c r="G69"/>
      <c r="H69">
        <f>'GC data'!BR$23</f>
        <v>4.8716460651191671</v>
      </c>
      <c r="J69" s="51">
        <f t="shared" si="18"/>
        <v>0</v>
      </c>
      <c r="L69" s="52">
        <f t="shared" si="23"/>
        <v>0</v>
      </c>
      <c r="N69" s="5" t="e">
        <f t="shared" si="24"/>
        <v>#DIV/0!</v>
      </c>
    </row>
    <row r="70" spans="1:14" s="5" customFormat="1" x14ac:dyDescent="0.2">
      <c r="A70" s="55"/>
      <c r="B70">
        <v>13</v>
      </c>
      <c r="C70"/>
      <c r="D70"/>
      <c r="E70" s="5">
        <f t="shared" si="21"/>
        <v>1.1939524999999999E-2</v>
      </c>
      <c r="F70" t="e">
        <f t="shared" si="22"/>
        <v>#DIV/0!</v>
      </c>
      <c r="G70"/>
      <c r="H70">
        <f>'GC data'!BS$23</f>
        <v>4.939039228732895</v>
      </c>
      <c r="J70" s="51">
        <f t="shared" si="18"/>
        <v>0</v>
      </c>
      <c r="L70" s="52">
        <f t="shared" si="23"/>
        <v>0</v>
      </c>
      <c r="N70" s="5" t="e">
        <f t="shared" si="24"/>
        <v>#DIV/0!</v>
      </c>
    </row>
    <row r="71" spans="1:14" s="5" customFormat="1" x14ac:dyDescent="0.2">
      <c r="A71" s="55"/>
      <c r="B71">
        <v>14</v>
      </c>
      <c r="C71"/>
      <c r="D71"/>
      <c r="E71" s="5">
        <f t="shared" si="21"/>
        <v>1.1939524999999999E-2</v>
      </c>
      <c r="F71" t="e">
        <f t="shared" si="22"/>
        <v>#DIV/0!</v>
      </c>
      <c r="G71"/>
      <c r="H71">
        <f>'GC data'!CD$23</f>
        <v>10.352061528060373</v>
      </c>
      <c r="J71" s="51">
        <f t="shared" si="18"/>
        <v>0</v>
      </c>
      <c r="L71" s="52">
        <f t="shared" si="23"/>
        <v>0</v>
      </c>
      <c r="N71" s="5" t="e">
        <f t="shared" si="24"/>
        <v>#DIV/0!</v>
      </c>
    </row>
    <row r="72" spans="1:14" s="5" customFormat="1" x14ac:dyDescent="0.2">
      <c r="A72" s="55"/>
      <c r="B72" s="56">
        <v>15</v>
      </c>
      <c r="C72" s="56"/>
      <c r="D72"/>
      <c r="E72" s="5">
        <f t="shared" si="21"/>
        <v>1.1939524999999999E-2</v>
      </c>
      <c r="F72" t="e">
        <f t="shared" si="22"/>
        <v>#DIV/0!</v>
      </c>
      <c r="G72"/>
      <c r="H72" t="e">
        <f>'GC data'!#REF!</f>
        <v>#REF!</v>
      </c>
      <c r="J72" s="51">
        <f t="shared" si="18"/>
        <v>0</v>
      </c>
      <c r="L72" s="52" t="e">
        <f t="shared" si="23"/>
        <v>#REF!</v>
      </c>
      <c r="N72" s="5" t="e">
        <f t="shared" si="24"/>
        <v>#REF!</v>
      </c>
    </row>
    <row r="73" spans="1:14" s="5" customFormat="1" x14ac:dyDescent="0.2">
      <c r="A73" s="55"/>
      <c r="B73">
        <v>16</v>
      </c>
      <c r="C73"/>
      <c r="D73"/>
      <c r="E73" s="5">
        <f t="shared" si="21"/>
        <v>1.1939524999999999E-2</v>
      </c>
      <c r="F73" t="e">
        <f t="shared" si="22"/>
        <v>#DIV/0!</v>
      </c>
      <c r="G73"/>
      <c r="H73" t="e">
        <f>'GC data'!#REF!</f>
        <v>#REF!</v>
      </c>
      <c r="J73" s="51">
        <f t="shared" si="18"/>
        <v>0</v>
      </c>
      <c r="L73" s="52" t="e">
        <f t="shared" si="23"/>
        <v>#REF!</v>
      </c>
      <c r="N73" s="5" t="e">
        <f t="shared" si="24"/>
        <v>#REF!</v>
      </c>
    </row>
    <row r="74" spans="1:14" s="5" customFormat="1" x14ac:dyDescent="0.2">
      <c r="A74" s="55"/>
      <c r="B74">
        <v>17</v>
      </c>
      <c r="C74"/>
      <c r="D74"/>
      <c r="E74" s="5">
        <f t="shared" si="21"/>
        <v>1.1939524999999999E-2</v>
      </c>
      <c r="F74" t="e">
        <f t="shared" si="22"/>
        <v>#DIV/0!</v>
      </c>
      <c r="G74"/>
      <c r="H74" t="e">
        <f>'GC data'!#REF!</f>
        <v>#REF!</v>
      </c>
      <c r="J74" s="51">
        <f t="shared" si="18"/>
        <v>0</v>
      </c>
      <c r="L74" s="52" t="e">
        <f t="shared" si="23"/>
        <v>#REF!</v>
      </c>
      <c r="N74" s="5" t="e">
        <f t="shared" si="24"/>
        <v>#REF!</v>
      </c>
    </row>
    <row r="75" spans="1:14" s="5" customFormat="1" x14ac:dyDescent="0.2">
      <c r="A75" s="55"/>
      <c r="B75">
        <v>18</v>
      </c>
      <c r="C75"/>
      <c r="D75"/>
      <c r="E75" s="5">
        <f t="shared" si="21"/>
        <v>1.1939524999999999E-2</v>
      </c>
      <c r="F75" t="e">
        <f t="shared" si="22"/>
        <v>#DIV/0!</v>
      </c>
      <c r="G75"/>
      <c r="H75" t="e">
        <f>'GC data'!#REF!</f>
        <v>#REF!</v>
      </c>
      <c r="J75" s="51">
        <f t="shared" si="18"/>
        <v>0</v>
      </c>
      <c r="L75" s="52" t="e">
        <f t="shared" si="23"/>
        <v>#REF!</v>
      </c>
      <c r="N75" s="5" t="e">
        <f t="shared" si="24"/>
        <v>#REF!</v>
      </c>
    </row>
    <row r="76" spans="1:14" s="5" customFormat="1" x14ac:dyDescent="0.2">
      <c r="A76"/>
      <c r="B76"/>
      <c r="C76"/>
      <c r="D76"/>
      <c r="E76"/>
      <c r="F76"/>
      <c r="G76"/>
      <c r="H76"/>
      <c r="J76" s="51"/>
    </row>
    <row r="77" spans="1:14" s="5" customFormat="1" x14ac:dyDescent="0.2">
      <c r="A77"/>
      <c r="B77"/>
      <c r="C77"/>
      <c r="D77"/>
      <c r="E77"/>
      <c r="F77"/>
      <c r="G77"/>
      <c r="H77"/>
    </row>
  </sheetData>
  <protectedRanges>
    <protectedRange sqref="A14:A18 A30:A34 A44:A48 A4:A8 A66:A70 A56:A60" name="Range2_1"/>
    <protectedRange sqref="A49:A53 A19:A25 A35:A41 A9:A11 A71:A75 A61:A63" name="Range2_1_17"/>
  </protectedRange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 data</vt:lpstr>
      <vt:lpstr>TTRs 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lhodson</dc:creator>
  <cp:lastModifiedBy>Felix Westcott</cp:lastModifiedBy>
  <dcterms:created xsi:type="dcterms:W3CDTF">2010-01-02T13:53:33Z</dcterms:created>
  <dcterms:modified xsi:type="dcterms:W3CDTF">2021-11-05T11:09:27Z</dcterms:modified>
</cp:coreProperties>
</file>