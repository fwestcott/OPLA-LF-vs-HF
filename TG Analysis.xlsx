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"/>
    </mc:Choice>
  </mc:AlternateContent>
  <xr:revisionPtr revIDLastSave="78" documentId="8_{3F362DAA-50C3-4FD5-8424-31B14A6F0275}" xr6:coauthVersionLast="47" xr6:coauthVersionMax="47" xr10:uidLastSave="{1877E87F-00BB-4E97-9962-5E8490B4D067}"/>
  <bookViews>
    <workbookView xWindow="-10725" yWindow="6045" windowWidth="21600" windowHeight="11385" xr2:uid="{00000000-000D-0000-FFFF-FFFF00000000}"/>
  </bookViews>
  <sheets>
    <sheet name="GC data" sheetId="3" r:id="rId1"/>
    <sheet name="TTRs 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5" i="3" l="1"/>
  <c r="CI5" i="3"/>
  <c r="CH6" i="3"/>
  <c r="CI6" i="3"/>
  <c r="CH7" i="3"/>
  <c r="CI7" i="3"/>
  <c r="CH8" i="3"/>
  <c r="CI8" i="3"/>
  <c r="CH9" i="3"/>
  <c r="CI9" i="3"/>
  <c r="CH11" i="3"/>
  <c r="CI11" i="3"/>
  <c r="CH12" i="3"/>
  <c r="CI12" i="3"/>
  <c r="CH13" i="3"/>
  <c r="CI13" i="3"/>
  <c r="CH14" i="3"/>
  <c r="CI14" i="3"/>
  <c r="CH15" i="3"/>
  <c r="CI15" i="3"/>
  <c r="CH17" i="3"/>
  <c r="CI17" i="3"/>
  <c r="CH18" i="3"/>
  <c r="CI18" i="3"/>
  <c r="CH20" i="3"/>
  <c r="CI20" i="3"/>
  <c r="CH21" i="3"/>
  <c r="CI21" i="3"/>
  <c r="CH22" i="3"/>
  <c r="CI22" i="3"/>
  <c r="CH23" i="3"/>
  <c r="CI23" i="3"/>
  <c r="CH24" i="3"/>
  <c r="CI24" i="3"/>
  <c r="CH25" i="3"/>
  <c r="CI25" i="3"/>
  <c r="CH26" i="3"/>
  <c r="CI26" i="3"/>
  <c r="CH27" i="3"/>
  <c r="CI27" i="3"/>
  <c r="CH28" i="3"/>
  <c r="CI28" i="3"/>
  <c r="CH29" i="3"/>
  <c r="CI29" i="3"/>
  <c r="CH30" i="3"/>
  <c r="CI30" i="3"/>
  <c r="CH31" i="3"/>
  <c r="CI31" i="3"/>
  <c r="CH32" i="3"/>
  <c r="CI32" i="3"/>
  <c r="CH33" i="3"/>
  <c r="CI33" i="3"/>
  <c r="CH34" i="3"/>
  <c r="CI34" i="3"/>
  <c r="CH35" i="3"/>
  <c r="CI35" i="3"/>
  <c r="CH37" i="3"/>
  <c r="CI37" i="3"/>
  <c r="CH38" i="3"/>
  <c r="CI38" i="3"/>
  <c r="CH40" i="3"/>
  <c r="CI40" i="3"/>
  <c r="BY5" i="3"/>
  <c r="BZ5" i="3"/>
  <c r="CA5" i="3"/>
  <c r="CB5" i="3"/>
  <c r="CC5" i="3"/>
  <c r="CD5" i="3"/>
  <c r="CE5" i="3"/>
  <c r="CF5" i="3"/>
  <c r="CG5" i="3"/>
  <c r="BY6" i="3"/>
  <c r="BZ6" i="3"/>
  <c r="CA6" i="3"/>
  <c r="CB6" i="3"/>
  <c r="CC6" i="3"/>
  <c r="CD6" i="3"/>
  <c r="CE6" i="3"/>
  <c r="CE40" i="3" s="1"/>
  <c r="CF6" i="3"/>
  <c r="CG6" i="3"/>
  <c r="BY7" i="3"/>
  <c r="BZ7" i="3"/>
  <c r="CA7" i="3"/>
  <c r="CB7" i="3"/>
  <c r="CC7" i="3"/>
  <c r="CD7" i="3"/>
  <c r="CD40" i="3" s="1"/>
  <c r="CE7" i="3"/>
  <c r="CF7" i="3"/>
  <c r="CG7" i="3"/>
  <c r="BY8" i="3"/>
  <c r="BZ8" i="3"/>
  <c r="CA8" i="3"/>
  <c r="CB8" i="3"/>
  <c r="CC8" i="3"/>
  <c r="CC40" i="3" s="1"/>
  <c r="CD8" i="3"/>
  <c r="CE8" i="3"/>
  <c r="CF8" i="3"/>
  <c r="CG8" i="3"/>
  <c r="BY9" i="3"/>
  <c r="BZ9" i="3"/>
  <c r="CA9" i="3"/>
  <c r="CB9" i="3"/>
  <c r="CB40" i="3" s="1"/>
  <c r="CC9" i="3"/>
  <c r="CD9" i="3"/>
  <c r="CE9" i="3"/>
  <c r="CF9" i="3"/>
  <c r="CG9" i="3"/>
  <c r="BY11" i="3"/>
  <c r="BZ11" i="3"/>
  <c r="CA11" i="3"/>
  <c r="CA40" i="3" s="1"/>
  <c r="CB11" i="3"/>
  <c r="CC11" i="3"/>
  <c r="CD11" i="3"/>
  <c r="CE11" i="3"/>
  <c r="CF11" i="3"/>
  <c r="CG11" i="3"/>
  <c r="BY12" i="3"/>
  <c r="BZ12" i="3"/>
  <c r="CA12" i="3"/>
  <c r="CB12" i="3"/>
  <c r="CC12" i="3"/>
  <c r="CD12" i="3"/>
  <c r="CE12" i="3"/>
  <c r="CF12" i="3"/>
  <c r="CG12" i="3"/>
  <c r="BY13" i="3"/>
  <c r="BY40" i="3" s="1"/>
  <c r="BZ13" i="3"/>
  <c r="CA13" i="3"/>
  <c r="CB13" i="3"/>
  <c r="CC13" i="3"/>
  <c r="CD13" i="3"/>
  <c r="CE13" i="3"/>
  <c r="CF13" i="3"/>
  <c r="CG13" i="3"/>
  <c r="CG40" i="3" s="1"/>
  <c r="BY14" i="3"/>
  <c r="BZ14" i="3"/>
  <c r="CA14" i="3"/>
  <c r="CB14" i="3"/>
  <c r="CC14" i="3"/>
  <c r="CD14" i="3"/>
  <c r="CE14" i="3"/>
  <c r="CF14" i="3"/>
  <c r="CF40" i="3" s="1"/>
  <c r="CG14" i="3"/>
  <c r="BY15" i="3"/>
  <c r="BZ15" i="3"/>
  <c r="CA15" i="3"/>
  <c r="CB15" i="3"/>
  <c r="CC15" i="3"/>
  <c r="CD15" i="3"/>
  <c r="CE15" i="3"/>
  <c r="CF15" i="3"/>
  <c r="CG15" i="3"/>
  <c r="BY17" i="3"/>
  <c r="BZ17" i="3"/>
  <c r="CA17" i="3"/>
  <c r="CB17" i="3"/>
  <c r="CC17" i="3"/>
  <c r="CD17" i="3"/>
  <c r="CE17" i="3"/>
  <c r="CF17" i="3"/>
  <c r="CG17" i="3"/>
  <c r="BY18" i="3"/>
  <c r="BZ18" i="3"/>
  <c r="CA18" i="3"/>
  <c r="CB18" i="3"/>
  <c r="CC18" i="3"/>
  <c r="CD18" i="3"/>
  <c r="CE18" i="3"/>
  <c r="CF18" i="3"/>
  <c r="CG18" i="3"/>
  <c r="BY20" i="3"/>
  <c r="BZ20" i="3"/>
  <c r="CA20" i="3"/>
  <c r="CB20" i="3"/>
  <c r="CC20" i="3"/>
  <c r="CD20" i="3"/>
  <c r="CE20" i="3"/>
  <c r="CF20" i="3"/>
  <c r="CG20" i="3"/>
  <c r="BY21" i="3"/>
  <c r="BZ21" i="3"/>
  <c r="CA21" i="3"/>
  <c r="CB21" i="3"/>
  <c r="CC21" i="3"/>
  <c r="CD21" i="3"/>
  <c r="CE21" i="3"/>
  <c r="CF21" i="3"/>
  <c r="CG21" i="3"/>
  <c r="BY22" i="3"/>
  <c r="BZ22" i="3"/>
  <c r="CA22" i="3"/>
  <c r="CB22" i="3"/>
  <c r="CC22" i="3"/>
  <c r="CD22" i="3"/>
  <c r="CE22" i="3"/>
  <c r="CF22" i="3"/>
  <c r="CG22" i="3"/>
  <c r="BY23" i="3"/>
  <c r="BZ23" i="3"/>
  <c r="CA23" i="3"/>
  <c r="CB23" i="3"/>
  <c r="CC23" i="3"/>
  <c r="CD23" i="3"/>
  <c r="CE23" i="3"/>
  <c r="CF23" i="3"/>
  <c r="CG23" i="3"/>
  <c r="BY24" i="3"/>
  <c r="BZ24" i="3"/>
  <c r="CA24" i="3"/>
  <c r="CB24" i="3"/>
  <c r="CC24" i="3"/>
  <c r="CD24" i="3"/>
  <c r="CE24" i="3"/>
  <c r="CF24" i="3"/>
  <c r="CG24" i="3"/>
  <c r="BY25" i="3"/>
  <c r="BZ25" i="3"/>
  <c r="CA25" i="3"/>
  <c r="CB25" i="3"/>
  <c r="CC25" i="3"/>
  <c r="CD25" i="3"/>
  <c r="CE25" i="3"/>
  <c r="CF25" i="3"/>
  <c r="CG25" i="3"/>
  <c r="BY26" i="3"/>
  <c r="BZ26" i="3"/>
  <c r="CA26" i="3"/>
  <c r="CB26" i="3"/>
  <c r="CC26" i="3"/>
  <c r="CD26" i="3"/>
  <c r="CE26" i="3"/>
  <c r="CF26" i="3"/>
  <c r="CG26" i="3"/>
  <c r="BY27" i="3"/>
  <c r="BZ27" i="3"/>
  <c r="CA27" i="3"/>
  <c r="CB27" i="3"/>
  <c r="CC27" i="3"/>
  <c r="CD27" i="3"/>
  <c r="CE27" i="3"/>
  <c r="CF27" i="3"/>
  <c r="CG27" i="3"/>
  <c r="BY28" i="3"/>
  <c r="BZ28" i="3"/>
  <c r="CA28" i="3"/>
  <c r="CB28" i="3"/>
  <c r="CC28" i="3"/>
  <c r="CD28" i="3"/>
  <c r="CE28" i="3"/>
  <c r="CF28" i="3"/>
  <c r="CG28" i="3"/>
  <c r="BY29" i="3"/>
  <c r="BZ29" i="3"/>
  <c r="CA29" i="3"/>
  <c r="CB29" i="3"/>
  <c r="CC29" i="3"/>
  <c r="CD29" i="3"/>
  <c r="CE29" i="3"/>
  <c r="CF29" i="3"/>
  <c r="CG29" i="3"/>
  <c r="BY30" i="3"/>
  <c r="BZ30" i="3"/>
  <c r="CA30" i="3"/>
  <c r="CB30" i="3"/>
  <c r="CC30" i="3"/>
  <c r="CD30" i="3"/>
  <c r="CE30" i="3"/>
  <c r="CF30" i="3"/>
  <c r="CG30" i="3"/>
  <c r="BY31" i="3"/>
  <c r="BZ31" i="3"/>
  <c r="CA31" i="3"/>
  <c r="CB31" i="3"/>
  <c r="CC31" i="3"/>
  <c r="CD31" i="3"/>
  <c r="CE31" i="3"/>
  <c r="CF31" i="3"/>
  <c r="CG31" i="3"/>
  <c r="BY32" i="3"/>
  <c r="BZ32" i="3"/>
  <c r="CA32" i="3"/>
  <c r="CB32" i="3"/>
  <c r="CC32" i="3"/>
  <c r="CD32" i="3"/>
  <c r="CE32" i="3"/>
  <c r="CF32" i="3"/>
  <c r="CG32" i="3"/>
  <c r="BY33" i="3"/>
  <c r="BZ33" i="3"/>
  <c r="CA33" i="3"/>
  <c r="CB33" i="3"/>
  <c r="CC33" i="3"/>
  <c r="CD33" i="3"/>
  <c r="CE33" i="3"/>
  <c r="CF33" i="3"/>
  <c r="CG33" i="3"/>
  <c r="BY34" i="3"/>
  <c r="BZ34" i="3"/>
  <c r="CA34" i="3"/>
  <c r="CB34" i="3"/>
  <c r="CC34" i="3"/>
  <c r="CD34" i="3"/>
  <c r="CE34" i="3"/>
  <c r="CF34" i="3"/>
  <c r="CG34" i="3"/>
  <c r="BY35" i="3"/>
  <c r="BZ35" i="3"/>
  <c r="CA35" i="3"/>
  <c r="CB35" i="3"/>
  <c r="CC35" i="3"/>
  <c r="CD35" i="3"/>
  <c r="CE35" i="3"/>
  <c r="CF35" i="3"/>
  <c r="CG35" i="3"/>
  <c r="BY37" i="3"/>
  <c r="BZ37" i="3"/>
  <c r="CA37" i="3"/>
  <c r="CB37" i="3"/>
  <c r="CC37" i="3"/>
  <c r="CD37" i="3"/>
  <c r="CE37" i="3"/>
  <c r="CF37" i="3"/>
  <c r="CG37" i="3"/>
  <c r="BY38" i="3"/>
  <c r="BZ38" i="3"/>
  <c r="CA38" i="3"/>
  <c r="CB38" i="3"/>
  <c r="CC38" i="3"/>
  <c r="CD38" i="3"/>
  <c r="CE38" i="3"/>
  <c r="CF38" i="3"/>
  <c r="CG38" i="3"/>
  <c r="BZ40" i="3"/>
  <c r="AU5" i="3" l="1"/>
  <c r="AV5" i="3"/>
  <c r="AW5" i="3"/>
  <c r="AX5" i="3"/>
  <c r="AY5" i="3"/>
  <c r="AZ5" i="3"/>
  <c r="BA5" i="3"/>
  <c r="BB5" i="3"/>
  <c r="BC5" i="3"/>
  <c r="BD5" i="3"/>
  <c r="BE5" i="3"/>
  <c r="AE5" i="3"/>
  <c r="E4" i="3"/>
  <c r="T40" i="3" s="1"/>
  <c r="E3" i="3"/>
  <c r="AE6" i="3" s="1"/>
  <c r="BD22" i="3" l="1"/>
  <c r="BE30" i="3"/>
  <c r="BC21" i="3"/>
  <c r="BA20" i="3"/>
  <c r="BC37" i="3"/>
  <c r="BB28" i="3"/>
  <c r="AZ17" i="3"/>
  <c r="AW32" i="3"/>
  <c r="BB37" i="3"/>
  <c r="BA27" i="3"/>
  <c r="AX9" i="3"/>
  <c r="BD29" i="3"/>
  <c r="BB35" i="3"/>
  <c r="AY26" i="3"/>
  <c r="BD38" i="3"/>
  <c r="AZ34" i="3"/>
  <c r="AV25" i="3"/>
  <c r="AY33" i="3"/>
  <c r="AU24" i="3"/>
  <c r="BA35" i="3"/>
  <c r="AY34" i="3"/>
  <c r="AV33" i="3"/>
  <c r="AU32" i="3"/>
  <c r="BD30" i="3"/>
  <c r="BC29" i="3"/>
  <c r="BA28" i="3"/>
  <c r="AX27" i="3"/>
  <c r="AW26" i="3"/>
  <c r="AU25" i="3"/>
  <c r="BE23" i="3"/>
  <c r="BC22" i="3"/>
  <c r="AZ21" i="3"/>
  <c r="AX20" i="3"/>
  <c r="AY17" i="3"/>
  <c r="BA8" i="3"/>
  <c r="BC38" i="3"/>
  <c r="BA37" i="3"/>
  <c r="AX35" i="3"/>
  <c r="AW34" i="3"/>
  <c r="AU33" i="3"/>
  <c r="BE31" i="3"/>
  <c r="BC30" i="3"/>
  <c r="AZ29" i="3"/>
  <c r="AY28" i="3"/>
  <c r="AW27" i="3"/>
  <c r="AV26" i="3"/>
  <c r="BE24" i="3"/>
  <c r="BB23" i="3"/>
  <c r="BA22" i="3"/>
  <c r="AY21" i="3"/>
  <c r="BE18" i="3"/>
  <c r="BB15" i="3"/>
  <c r="BD7" i="3"/>
  <c r="AZ38" i="3"/>
  <c r="AY37" i="3"/>
  <c r="AW35" i="3"/>
  <c r="AV34" i="3"/>
  <c r="BE32" i="3"/>
  <c r="BB31" i="3"/>
  <c r="BA30" i="3"/>
  <c r="AY29" i="3"/>
  <c r="AX28" i="3"/>
  <c r="AV27" i="3"/>
  <c r="BD25" i="3"/>
  <c r="BC24" i="3"/>
  <c r="BA23" i="3"/>
  <c r="AZ22" i="3"/>
  <c r="AX21" i="3"/>
  <c r="BD18" i="3"/>
  <c r="BE14" i="3"/>
  <c r="AV7" i="3"/>
  <c r="AY38" i="3"/>
  <c r="AX37" i="3"/>
  <c r="AV35" i="3"/>
  <c r="BD33" i="3"/>
  <c r="BC32" i="3"/>
  <c r="BA31" i="3"/>
  <c r="AZ30" i="3"/>
  <c r="AX29" i="3"/>
  <c r="AU28" i="3"/>
  <c r="BE26" i="3"/>
  <c r="BC25" i="3"/>
  <c r="BB24" i="3"/>
  <c r="AZ23" i="3"/>
  <c r="AW22" i="3"/>
  <c r="AV21" i="3"/>
  <c r="BA18" i="3"/>
  <c r="AW14" i="3"/>
  <c r="AY6" i="3"/>
  <c r="AX38" i="3"/>
  <c r="AU37" i="3"/>
  <c r="BE34" i="3"/>
  <c r="BC33" i="3"/>
  <c r="BB32" i="3"/>
  <c r="AZ31" i="3"/>
  <c r="AW30" i="3"/>
  <c r="AV29" i="3"/>
  <c r="BE27" i="3"/>
  <c r="BD26" i="3"/>
  <c r="BB25" i="3"/>
  <c r="AY24" i="3"/>
  <c r="AX23" i="3"/>
  <c r="AV22" i="3"/>
  <c r="AU21" i="3"/>
  <c r="AW18" i="3"/>
  <c r="AZ12" i="3"/>
  <c r="AV38" i="3"/>
  <c r="BE35" i="3"/>
  <c r="BD34" i="3"/>
  <c r="BB33" i="3"/>
  <c r="AY32" i="3"/>
  <c r="AX31" i="3"/>
  <c r="AV30" i="3"/>
  <c r="AU29" i="3"/>
  <c r="BD27" i="3"/>
  <c r="BA26" i="3"/>
  <c r="AZ25" i="3"/>
  <c r="AX24" i="3"/>
  <c r="AW23" i="3"/>
  <c r="AU22" i="3"/>
  <c r="BC20" i="3"/>
  <c r="AV18" i="3"/>
  <c r="BC11" i="3"/>
  <c r="AU38" i="3"/>
  <c r="BD35" i="3"/>
  <c r="BA34" i="3"/>
  <c r="AZ33" i="3"/>
  <c r="AX32" i="3"/>
  <c r="AW31" i="3"/>
  <c r="AU30" i="3"/>
  <c r="BC28" i="3"/>
  <c r="BB27" i="3"/>
  <c r="AZ26" i="3"/>
  <c r="AY25" i="3"/>
  <c r="AW24" i="3"/>
  <c r="BE22" i="3"/>
  <c r="BD21" i="3"/>
  <c r="BB20" i="3"/>
  <c r="BD17" i="3"/>
  <c r="AU11" i="3"/>
  <c r="BE38" i="3"/>
  <c r="AW38" i="3"/>
  <c r="AZ37" i="3"/>
  <c r="BC35" i="3"/>
  <c r="AU35" i="3"/>
  <c r="AX34" i="3"/>
  <c r="BA33" i="3"/>
  <c r="BD32" i="3"/>
  <c r="AV32" i="3"/>
  <c r="AY31" i="3"/>
  <c r="BB30" i="3"/>
  <c r="BE29" i="3"/>
  <c r="AW29" i="3"/>
  <c r="AZ28" i="3"/>
  <c r="BC27" i="3"/>
  <c r="AU27" i="3"/>
  <c r="AX26" i="3"/>
  <c r="BA25" i="3"/>
  <c r="BD24" i="3"/>
  <c r="AV24" i="3"/>
  <c r="AY23" i="3"/>
  <c r="BB22" i="3"/>
  <c r="BE21" i="3"/>
  <c r="AW21" i="3"/>
  <c r="AZ20" i="3"/>
  <c r="BC18" i="3"/>
  <c r="AU18" i="3"/>
  <c r="AX17" i="3"/>
  <c r="BA15" i="3"/>
  <c r="BD14" i="3"/>
  <c r="AV14" i="3"/>
  <c r="AY12" i="3"/>
  <c r="BB11" i="3"/>
  <c r="BE9" i="3"/>
  <c r="AW9" i="3"/>
  <c r="AZ8" i="3"/>
  <c r="BC7" i="3"/>
  <c r="AU7" i="3"/>
  <c r="AX6" i="3"/>
  <c r="AY20" i="3"/>
  <c r="BB18" i="3"/>
  <c r="BE17" i="3"/>
  <c r="AW17" i="3"/>
  <c r="AZ15" i="3"/>
  <c r="BC14" i="3"/>
  <c r="AU14" i="3"/>
  <c r="AX12" i="3"/>
  <c r="BA11" i="3"/>
  <c r="BD9" i="3"/>
  <c r="AV9" i="3"/>
  <c r="AY8" i="3"/>
  <c r="BB7" i="3"/>
  <c r="BE6" i="3"/>
  <c r="AW6" i="3"/>
  <c r="AV17" i="3"/>
  <c r="AY15" i="3"/>
  <c r="BB14" i="3"/>
  <c r="BE12" i="3"/>
  <c r="AW12" i="3"/>
  <c r="AZ11" i="3"/>
  <c r="BC9" i="3"/>
  <c r="AU9" i="3"/>
  <c r="AX8" i="3"/>
  <c r="BA7" i="3"/>
  <c r="BD6" i="3"/>
  <c r="AV6" i="3"/>
  <c r="BB38" i="3"/>
  <c r="BE37" i="3"/>
  <c r="AW37" i="3"/>
  <c r="AZ35" i="3"/>
  <c r="BC34" i="3"/>
  <c r="AU34" i="3"/>
  <c r="AX33" i="3"/>
  <c r="BA32" i="3"/>
  <c r="BD31" i="3"/>
  <c r="AV31" i="3"/>
  <c r="AY30" i="3"/>
  <c r="BB29" i="3"/>
  <c r="BE28" i="3"/>
  <c r="AW28" i="3"/>
  <c r="AZ27" i="3"/>
  <c r="BC26" i="3"/>
  <c r="AU26" i="3"/>
  <c r="AX25" i="3"/>
  <c r="BA24" i="3"/>
  <c r="BD23" i="3"/>
  <c r="AV23" i="3"/>
  <c r="AY22" i="3"/>
  <c r="BB21" i="3"/>
  <c r="BE20" i="3"/>
  <c r="AW20" i="3"/>
  <c r="AZ18" i="3"/>
  <c r="BC17" i="3"/>
  <c r="AU17" i="3"/>
  <c r="AX15" i="3"/>
  <c r="BA14" i="3"/>
  <c r="BD12" i="3"/>
  <c r="AV12" i="3"/>
  <c r="AY11" i="3"/>
  <c r="BB9" i="3"/>
  <c r="BE8" i="3"/>
  <c r="AW8" i="3"/>
  <c r="AZ7" i="3"/>
  <c r="BC6" i="3"/>
  <c r="AU6" i="3"/>
  <c r="BA38" i="3"/>
  <c r="BD37" i="3"/>
  <c r="AV37" i="3"/>
  <c r="AY35" i="3"/>
  <c r="BB34" i="3"/>
  <c r="BE33" i="3"/>
  <c r="AW33" i="3"/>
  <c r="AZ32" i="3"/>
  <c r="BC31" i="3"/>
  <c r="AU31" i="3"/>
  <c r="AX30" i="3"/>
  <c r="BA29" i="3"/>
  <c r="BD28" i="3"/>
  <c r="AV28" i="3"/>
  <c r="AY27" i="3"/>
  <c r="BB26" i="3"/>
  <c r="BE25" i="3"/>
  <c r="AW25" i="3"/>
  <c r="AZ24" i="3"/>
  <c r="BC23" i="3"/>
  <c r="AU23" i="3"/>
  <c r="AX22" i="3"/>
  <c r="BA21" i="3"/>
  <c r="BD20" i="3"/>
  <c r="AV20" i="3"/>
  <c r="AY18" i="3"/>
  <c r="BB17" i="3"/>
  <c r="BE15" i="3"/>
  <c r="AW15" i="3"/>
  <c r="AZ14" i="3"/>
  <c r="BC12" i="3"/>
  <c r="AU12" i="3"/>
  <c r="AX11" i="3"/>
  <c r="BA9" i="3"/>
  <c r="BD8" i="3"/>
  <c r="AV8" i="3"/>
  <c r="AY7" i="3"/>
  <c r="BB6" i="3"/>
  <c r="AU20" i="3"/>
  <c r="AX18" i="3"/>
  <c r="BA17" i="3"/>
  <c r="BD15" i="3"/>
  <c r="AV15" i="3"/>
  <c r="AY14" i="3"/>
  <c r="BB12" i="3"/>
  <c r="BE11" i="3"/>
  <c r="AW11" i="3"/>
  <c r="AZ9" i="3"/>
  <c r="BC8" i="3"/>
  <c r="AU8" i="3"/>
  <c r="AX7" i="3"/>
  <c r="BA6" i="3"/>
  <c r="BC15" i="3"/>
  <c r="AU15" i="3"/>
  <c r="AX14" i="3"/>
  <c r="BA12" i="3"/>
  <c r="BD11" i="3"/>
  <c r="AV11" i="3"/>
  <c r="AY9" i="3"/>
  <c r="BB8" i="3"/>
  <c r="BE7" i="3"/>
  <c r="AW7" i="3"/>
  <c r="AZ6" i="3"/>
  <c r="AA40" i="3"/>
  <c r="Z40" i="3"/>
  <c r="W40" i="3"/>
  <c r="S40" i="3"/>
  <c r="R40" i="3"/>
  <c r="Y40" i="3"/>
  <c r="X40" i="3"/>
  <c r="U40" i="3"/>
  <c r="V40" i="3"/>
  <c r="AB40" i="3"/>
  <c r="AE33" i="3"/>
  <c r="AE24" i="3"/>
  <c r="AE11" i="3"/>
  <c r="AE25" i="3"/>
  <c r="AE14" i="3"/>
  <c r="AE30" i="3"/>
  <c r="AE9" i="3"/>
  <c r="AE23" i="3"/>
  <c r="AE22" i="3"/>
  <c r="AE38" i="3"/>
  <c r="AE29" i="3"/>
  <c r="AE21" i="3"/>
  <c r="AE37" i="3"/>
  <c r="AE28" i="3"/>
  <c r="AE20" i="3"/>
  <c r="AE8" i="3"/>
  <c r="AE32" i="3"/>
  <c r="AE15" i="3"/>
  <c r="AE31" i="3"/>
  <c r="AE12" i="3"/>
  <c r="AE35" i="3"/>
  <c r="AE27" i="3"/>
  <c r="AE18" i="3"/>
  <c r="AE7" i="3"/>
  <c r="AE34" i="3"/>
  <c r="AE26" i="3"/>
  <c r="AE17" i="3"/>
  <c r="G40" i="3"/>
  <c r="F40" i="3"/>
  <c r="E40" i="3"/>
  <c r="L40" i="3"/>
  <c r="D40" i="3"/>
  <c r="H40" i="3"/>
  <c r="J40" i="3"/>
  <c r="K40" i="3"/>
  <c r="I40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W39" i="3" l="1"/>
  <c r="BB39" i="3"/>
  <c r="AV39" i="3"/>
  <c r="BE39" i="3"/>
  <c r="BD39" i="3"/>
  <c r="AX39" i="3"/>
  <c r="AZ39" i="3"/>
  <c r="BA39" i="3"/>
  <c r="AY39" i="3"/>
  <c r="BC39" i="3"/>
  <c r="AU39" i="3"/>
  <c r="AR39" i="3"/>
  <c r="AQ39" i="3"/>
  <c r="AO39" i="3"/>
  <c r="AT39" i="3"/>
  <c r="AP39" i="3"/>
  <c r="AS39" i="3"/>
  <c r="AF5" i="3"/>
  <c r="BJ5" i="3" s="1"/>
  <c r="CR5" i="3" s="1"/>
  <c r="AG5" i="3"/>
  <c r="BK5" i="3" s="1"/>
  <c r="CS5" i="3" s="1"/>
  <c r="AH5" i="3"/>
  <c r="BL5" i="3" s="1"/>
  <c r="CT5" i="3" s="1"/>
  <c r="AI5" i="3"/>
  <c r="BM5" i="3" s="1"/>
  <c r="CU5" i="3" s="1"/>
  <c r="AJ5" i="3"/>
  <c r="BN5" i="3" s="1"/>
  <c r="CV5" i="3" s="1"/>
  <c r="AK5" i="3"/>
  <c r="BO5" i="3" s="1"/>
  <c r="CW5" i="3" s="1"/>
  <c r="AL5" i="3"/>
  <c r="BP5" i="3" s="1"/>
  <c r="CX5" i="3" s="1"/>
  <c r="AM5" i="3"/>
  <c r="BQ5" i="3" s="1"/>
  <c r="CY5" i="3" s="1"/>
  <c r="AN5" i="3"/>
  <c r="BR5" i="3" s="1"/>
  <c r="CZ5" i="3" s="1"/>
  <c r="AO5" i="3"/>
  <c r="BS5" i="3" s="1"/>
  <c r="DA5" i="3" s="1"/>
  <c r="AP5" i="3"/>
  <c r="BT5" i="3" s="1"/>
  <c r="DB5" i="3" s="1"/>
  <c r="AQ5" i="3"/>
  <c r="BU5" i="3" s="1"/>
  <c r="DC5" i="3" s="1"/>
  <c r="AR5" i="3"/>
  <c r="BV5" i="3" s="1"/>
  <c r="DD5" i="3" s="1"/>
  <c r="AS5" i="3"/>
  <c r="BW5" i="3" s="1"/>
  <c r="DE5" i="3" s="1"/>
  <c r="AT5" i="3"/>
  <c r="BX5" i="3" s="1"/>
  <c r="DF5" i="3" s="1"/>
  <c r="DG5" i="3"/>
  <c r="DH5" i="3"/>
  <c r="DI5" i="3"/>
  <c r="DJ5" i="3"/>
  <c r="BI5" i="3"/>
  <c r="CQ5" i="3" s="1"/>
  <c r="BV13" i="3" l="1"/>
  <c r="B40" i="3"/>
  <c r="BX13" i="3" l="1"/>
  <c r="BT13" i="3"/>
  <c r="BU13" i="3"/>
  <c r="BW13" i="3"/>
  <c r="E6" i="6"/>
  <c r="E7" i="6"/>
  <c r="E8" i="6"/>
  <c r="E9" i="6"/>
  <c r="F9" i="6" s="1"/>
  <c r="E10" i="6"/>
  <c r="E11" i="6"/>
  <c r="E12" i="6"/>
  <c r="E13" i="6"/>
  <c r="E14" i="6"/>
  <c r="E15" i="6"/>
  <c r="E16" i="6"/>
  <c r="E17" i="6"/>
  <c r="F17" i="6" s="1"/>
  <c r="E18" i="6"/>
  <c r="E19" i="6"/>
  <c r="E20" i="6"/>
  <c r="E21" i="6"/>
  <c r="E22" i="6"/>
  <c r="E23" i="6"/>
  <c r="E4" i="6"/>
  <c r="F4" i="6" s="1"/>
  <c r="E30" i="6"/>
  <c r="E31" i="6"/>
  <c r="E32" i="6"/>
  <c r="E33" i="6"/>
  <c r="E34" i="6"/>
  <c r="E35" i="6"/>
  <c r="E36" i="6"/>
  <c r="E37" i="6"/>
  <c r="E40" i="6"/>
  <c r="E41" i="6"/>
  <c r="E42" i="6"/>
  <c r="E43" i="6"/>
  <c r="E44" i="6"/>
  <c r="E45" i="6"/>
  <c r="E46" i="6"/>
  <c r="E47" i="6"/>
  <c r="E48" i="6"/>
  <c r="E49" i="6"/>
  <c r="E56" i="6"/>
  <c r="E57" i="6"/>
  <c r="E58" i="6"/>
  <c r="E59" i="6"/>
  <c r="E60" i="6"/>
  <c r="E61" i="6"/>
  <c r="E62" i="6"/>
  <c r="E63" i="6"/>
  <c r="E66" i="6"/>
  <c r="E67" i="6"/>
  <c r="E68" i="6"/>
  <c r="E69" i="6"/>
  <c r="E70" i="6"/>
  <c r="E71" i="6"/>
  <c r="E72" i="6"/>
  <c r="E73" i="6"/>
  <c r="E74" i="6"/>
  <c r="E75" i="6"/>
  <c r="F20" i="6" l="1"/>
  <c r="F12" i="6"/>
  <c r="F16" i="6"/>
  <c r="F23" i="6"/>
  <c r="F15" i="6"/>
  <c r="F7" i="6"/>
  <c r="F22" i="6"/>
  <c r="F14" i="6"/>
  <c r="F6" i="6"/>
  <c r="F8" i="6"/>
  <c r="F21" i="6"/>
  <c r="F13" i="6"/>
  <c r="F11" i="6"/>
  <c r="F18" i="6"/>
  <c r="F10" i="6"/>
  <c r="F19" i="6"/>
  <c r="J57" i="6" l="1"/>
  <c r="J58" i="6"/>
  <c r="J59" i="6"/>
  <c r="J60" i="6"/>
  <c r="J61" i="6"/>
  <c r="J62" i="6"/>
  <c r="J63" i="6"/>
  <c r="J66" i="6"/>
  <c r="J67" i="6"/>
  <c r="J68" i="6"/>
  <c r="J69" i="6"/>
  <c r="J70" i="6"/>
  <c r="J71" i="6"/>
  <c r="J72" i="6"/>
  <c r="J73" i="6"/>
  <c r="J74" i="6"/>
  <c r="J75" i="6"/>
  <c r="J56" i="6"/>
  <c r="DJ7" i="3" l="1"/>
  <c r="DI7" i="3"/>
  <c r="F75" i="6"/>
  <c r="F74" i="6"/>
  <c r="F73" i="6"/>
  <c r="F72" i="6"/>
  <c r="F71" i="6"/>
  <c r="F70" i="6"/>
  <c r="F69" i="6"/>
  <c r="F68" i="6"/>
  <c r="F67" i="6"/>
  <c r="F66" i="6"/>
  <c r="F63" i="6"/>
  <c r="F62" i="6"/>
  <c r="F61" i="6"/>
  <c r="F60" i="6"/>
  <c r="F59" i="6"/>
  <c r="F58" i="6"/>
  <c r="F57" i="6"/>
  <c r="F56" i="6"/>
  <c r="DJ6" i="3" l="1"/>
  <c r="DH6" i="3"/>
  <c r="DI6" i="3"/>
  <c r="DH7" i="3"/>
  <c r="C40" i="3"/>
  <c r="M40" i="3"/>
  <c r="N40" i="3"/>
  <c r="O40" i="3"/>
  <c r="P40" i="3"/>
  <c r="Q40" i="3"/>
  <c r="J41" i="6"/>
  <c r="J42" i="6"/>
  <c r="J43" i="6"/>
  <c r="J44" i="6"/>
  <c r="J45" i="6"/>
  <c r="J46" i="6"/>
  <c r="J47" i="6"/>
  <c r="J48" i="6"/>
  <c r="J49" i="6"/>
  <c r="J31" i="6"/>
  <c r="J32" i="6"/>
  <c r="J33" i="6"/>
  <c r="J34" i="6"/>
  <c r="J35" i="6"/>
  <c r="J36" i="6"/>
  <c r="J37" i="6"/>
  <c r="AN39" i="3" l="1"/>
  <c r="BW6" i="3"/>
  <c r="BX18" i="3"/>
  <c r="BU18" i="3"/>
  <c r="BV6" i="3"/>
  <c r="BW26" i="3"/>
  <c r="BW37" i="3"/>
  <c r="BW35" i="3"/>
  <c r="BW12" i="3"/>
  <c r="BW31" i="3"/>
  <c r="BX27" i="3"/>
  <c r="BW21" i="3"/>
  <c r="BW8" i="3"/>
  <c r="BX6" i="3"/>
  <c r="BX32" i="3"/>
  <c r="BW22" i="3"/>
  <c r="BW29" i="3"/>
  <c r="BW24" i="3"/>
  <c r="BW25" i="3"/>
  <c r="BW14" i="3"/>
  <c r="BX21" i="3"/>
  <c r="BX31" i="3"/>
  <c r="BX24" i="3"/>
  <c r="BW20" i="3"/>
  <c r="BW30" i="3"/>
  <c r="BW32" i="3"/>
  <c r="BW33" i="3"/>
  <c r="BW38" i="3"/>
  <c r="BX14" i="3"/>
  <c r="BW17" i="3"/>
  <c r="BW34" i="3"/>
  <c r="BX30" i="3"/>
  <c r="BX17" i="3"/>
  <c r="BX37" i="3"/>
  <c r="BX20" i="3"/>
  <c r="BX12" i="3"/>
  <c r="BW28" i="3"/>
  <c r="BX38" i="3"/>
  <c r="BW9" i="3"/>
  <c r="BX26" i="3"/>
  <c r="BV21" i="3"/>
  <c r="BV8" i="3"/>
  <c r="BV23" i="3"/>
  <c r="BV33" i="3"/>
  <c r="BX35" i="3"/>
  <c r="BX34" i="3"/>
  <c r="BX23" i="3"/>
  <c r="BX15" i="3"/>
  <c r="BX28" i="3"/>
  <c r="BX29" i="3"/>
  <c r="BV22" i="3"/>
  <c r="BV15" i="3"/>
  <c r="BV29" i="3"/>
  <c r="BV35" i="3"/>
  <c r="BV9" i="3"/>
  <c r="BV27" i="3"/>
  <c r="BV32" i="3"/>
  <c r="BV26" i="3"/>
  <c r="BV37" i="3"/>
  <c r="BV31" i="3"/>
  <c r="BX11" i="3"/>
  <c r="BV20" i="3"/>
  <c r="BX7" i="3"/>
  <c r="BV30" i="3"/>
  <c r="BX33" i="3"/>
  <c r="BV38" i="3"/>
  <c r="BV17" i="3"/>
  <c r="BV11" i="3"/>
  <c r="BV28" i="3"/>
  <c r="BV34" i="3"/>
  <c r="BV25" i="3"/>
  <c r="BV14" i="3"/>
  <c r="BV24" i="3"/>
  <c r="BU17" i="3"/>
  <c r="BU20" i="3"/>
  <c r="BU9" i="3"/>
  <c r="BU32" i="3"/>
  <c r="BU30" i="3"/>
  <c r="BU22" i="3"/>
  <c r="BU31" i="3"/>
  <c r="BX9" i="3"/>
  <c r="BU23" i="3"/>
  <c r="BU28" i="3"/>
  <c r="BX8" i="3"/>
  <c r="BU29" i="3"/>
  <c r="BU27" i="3"/>
  <c r="BU21" i="3"/>
  <c r="BU37" i="3"/>
  <c r="BU24" i="3"/>
  <c r="BU15" i="3"/>
  <c r="BU11" i="3"/>
  <c r="BU33" i="3"/>
  <c r="BU34" i="3"/>
  <c r="BU35" i="3"/>
  <c r="BU26" i="3"/>
  <c r="BX25" i="3"/>
  <c r="BU12" i="3"/>
  <c r="BX22" i="3"/>
  <c r="BW23" i="3"/>
  <c r="BW15" i="3"/>
  <c r="BW7" i="3"/>
  <c r="BW27" i="3"/>
  <c r="BW11" i="3"/>
  <c r="BU7" i="3"/>
  <c r="BU38" i="3"/>
  <c r="BU25" i="3"/>
  <c r="BU14" i="3"/>
  <c r="BV12" i="3"/>
  <c r="BW18" i="3"/>
  <c r="BU6" i="3"/>
  <c r="BU8" i="3"/>
  <c r="BV7" i="3"/>
  <c r="BV18" i="3"/>
  <c r="DC7" i="3" l="1"/>
  <c r="DD7" i="3"/>
  <c r="DG6" i="3"/>
  <c r="DF7" i="3"/>
  <c r="H72" i="6"/>
  <c r="L72" i="6" s="1"/>
  <c r="N72" i="6" s="1"/>
  <c r="DD6" i="3"/>
  <c r="DE7" i="3"/>
  <c r="H71" i="6"/>
  <c r="L71" i="6" s="1"/>
  <c r="N71" i="6" s="1"/>
  <c r="DC6" i="3"/>
  <c r="H73" i="6"/>
  <c r="L73" i="6" s="1"/>
  <c r="N73" i="6" s="1"/>
  <c r="DE6" i="3"/>
  <c r="DG7" i="3"/>
  <c r="H74" i="6"/>
  <c r="L74" i="6" s="1"/>
  <c r="N74" i="6" s="1"/>
  <c r="DF6" i="3"/>
  <c r="H75" i="6"/>
  <c r="L75" i="6" s="1"/>
  <c r="N75" i="6" s="1"/>
  <c r="BX40" i="3"/>
  <c r="BW40" i="3"/>
  <c r="BU40" i="3"/>
  <c r="BV40" i="3"/>
  <c r="J40" i="6" l="1"/>
  <c r="J30" i="6"/>
  <c r="F30" i="6" l="1"/>
  <c r="F32" i="6"/>
  <c r="F37" i="6"/>
  <c r="F35" i="6"/>
  <c r="F33" i="6"/>
  <c r="F31" i="6"/>
  <c r="F34" i="6"/>
  <c r="F36" i="6"/>
  <c r="F40" i="6"/>
  <c r="F46" i="6"/>
  <c r="F44" i="6"/>
  <c r="F47" i="6"/>
  <c r="F42" i="6"/>
  <c r="F49" i="6"/>
  <c r="F43" i="6"/>
  <c r="F45" i="6"/>
  <c r="F41" i="6"/>
  <c r="F48" i="6"/>
  <c r="H19" i="6" l="1"/>
  <c r="L19" i="6" s="1"/>
  <c r="N19" i="6" s="1"/>
  <c r="H23" i="6"/>
  <c r="L23" i="6" s="1"/>
  <c r="N23" i="6" s="1"/>
  <c r="H22" i="6"/>
  <c r="L22" i="6" s="1"/>
  <c r="N22" i="6" s="1"/>
  <c r="H21" i="6"/>
  <c r="L21" i="6" s="1"/>
  <c r="N21" i="6" s="1"/>
  <c r="H20" i="6"/>
  <c r="L20" i="6" s="1"/>
  <c r="N20" i="6" s="1"/>
  <c r="H49" i="6" l="1"/>
  <c r="L49" i="6" s="1"/>
  <c r="N49" i="6" s="1"/>
  <c r="H46" i="6"/>
  <c r="L46" i="6" s="1"/>
  <c r="N46" i="6" s="1"/>
  <c r="H45" i="6"/>
  <c r="L45" i="6" s="1"/>
  <c r="N45" i="6" s="1"/>
  <c r="H48" i="6"/>
  <c r="L48" i="6" s="1"/>
  <c r="N48" i="6" s="1"/>
  <c r="H47" i="6" l="1"/>
  <c r="L47" i="6" s="1"/>
  <c r="N47" i="6" s="1"/>
  <c r="H56" i="6" l="1"/>
  <c r="L56" i="6" s="1"/>
  <c r="N56" i="6" s="1"/>
  <c r="H30" i="6" l="1"/>
  <c r="L30" i="6" s="1"/>
  <c r="N30" i="6" s="1"/>
  <c r="AH39" i="3" l="1"/>
  <c r="AG39" i="3"/>
  <c r="AF39" i="3"/>
  <c r="AE39" i="3"/>
  <c r="AL39" i="3"/>
  <c r="AI39" i="3"/>
  <c r="AK39" i="3"/>
  <c r="AJ39" i="3"/>
  <c r="BT21" i="3"/>
  <c r="AM39" i="3"/>
  <c r="BQ15" i="3" l="1"/>
  <c r="H13" i="6" s="1"/>
  <c r="BM21" i="3"/>
  <c r="BR15" i="3"/>
  <c r="H16" i="6" s="1"/>
  <c r="L16" i="6" s="1"/>
  <c r="N16" i="6" s="1"/>
  <c r="BS21" i="3"/>
  <c r="BS13" i="3"/>
  <c r="BJ15" i="3"/>
  <c r="H6" i="6" s="1"/>
  <c r="L6" i="6" s="1"/>
  <c r="N6" i="6" s="1"/>
  <c r="BO15" i="3"/>
  <c r="H11" i="6" s="1"/>
  <c r="L11" i="6" s="1"/>
  <c r="N11" i="6" s="1"/>
  <c r="BL15" i="3"/>
  <c r="H8" i="6" s="1"/>
  <c r="L8" i="6" s="1"/>
  <c r="N8" i="6" s="1"/>
  <c r="BI15" i="3"/>
  <c r="H4" i="6" s="1"/>
  <c r="L4" i="6" s="1"/>
  <c r="N4" i="6" s="1"/>
  <c r="BI18" i="3"/>
  <c r="BL21" i="3"/>
  <c r="BJ21" i="3"/>
  <c r="BR21" i="3"/>
  <c r="BI21" i="3"/>
  <c r="BQ21" i="3"/>
  <c r="BK12" i="3"/>
  <c r="BK31" i="3"/>
  <c r="BK37" i="3"/>
  <c r="BK33" i="3"/>
  <c r="BK7" i="3"/>
  <c r="BK30" i="3"/>
  <c r="BK6" i="3"/>
  <c r="BK38" i="3"/>
  <c r="BK18" i="3"/>
  <c r="BK29" i="3"/>
  <c r="BK11" i="3"/>
  <c r="BK26" i="3"/>
  <c r="BK8" i="3"/>
  <c r="BK28" i="3"/>
  <c r="BK20" i="3"/>
  <c r="BK35" i="3"/>
  <c r="BK25" i="3"/>
  <c r="BK27" i="3"/>
  <c r="BK24" i="3"/>
  <c r="BK23" i="3"/>
  <c r="BK34" i="3"/>
  <c r="BK32" i="3"/>
  <c r="BK17" i="3"/>
  <c r="BK22" i="3"/>
  <c r="BK9" i="3"/>
  <c r="BK14" i="3"/>
  <c r="BK15" i="3"/>
  <c r="H7" i="6" s="1"/>
  <c r="L7" i="6" s="1"/>
  <c r="N7" i="6" s="1"/>
  <c r="BK21" i="3"/>
  <c r="BJ11" i="3"/>
  <c r="BJ29" i="3"/>
  <c r="BJ31" i="3"/>
  <c r="BJ34" i="3"/>
  <c r="BJ8" i="3"/>
  <c r="BJ7" i="3"/>
  <c r="BJ25" i="3"/>
  <c r="BJ30" i="3"/>
  <c r="BJ24" i="3"/>
  <c r="BJ12" i="3"/>
  <c r="BJ6" i="3"/>
  <c r="BJ32" i="3"/>
  <c r="BJ35" i="3"/>
  <c r="BJ14" i="3"/>
  <c r="BJ17" i="3"/>
  <c r="BJ33" i="3"/>
  <c r="BJ22" i="3"/>
  <c r="BJ26" i="3"/>
  <c r="BJ28" i="3"/>
  <c r="BJ18" i="3"/>
  <c r="BJ27" i="3"/>
  <c r="BJ9" i="3"/>
  <c r="BJ37" i="3"/>
  <c r="BJ23" i="3"/>
  <c r="BJ38" i="3"/>
  <c r="BJ20" i="3"/>
  <c r="BL18" i="3"/>
  <c r="BL8" i="3"/>
  <c r="BL6" i="3"/>
  <c r="BL37" i="3"/>
  <c r="BL31" i="3"/>
  <c r="BL7" i="3"/>
  <c r="BL9" i="3"/>
  <c r="BL11" i="3"/>
  <c r="BL34" i="3"/>
  <c r="BL33" i="3"/>
  <c r="BL23" i="3"/>
  <c r="BL26" i="3"/>
  <c r="BL20" i="3"/>
  <c r="BL30" i="3"/>
  <c r="BL17" i="3"/>
  <c r="BL24" i="3"/>
  <c r="BL28" i="3"/>
  <c r="BL35" i="3"/>
  <c r="BL27" i="3"/>
  <c r="BL32" i="3"/>
  <c r="BL38" i="3"/>
  <c r="BL25" i="3"/>
  <c r="BL12" i="3"/>
  <c r="BL22" i="3"/>
  <c r="BL29" i="3"/>
  <c r="BL14" i="3"/>
  <c r="BS15" i="3"/>
  <c r="H17" i="6" s="1"/>
  <c r="L17" i="6" s="1"/>
  <c r="N17" i="6" s="1"/>
  <c r="BM34" i="3"/>
  <c r="BM12" i="3"/>
  <c r="BM22" i="3"/>
  <c r="BM9" i="3"/>
  <c r="BM25" i="3"/>
  <c r="BM32" i="3"/>
  <c r="BM6" i="3"/>
  <c r="BM7" i="3"/>
  <c r="BM24" i="3"/>
  <c r="BM11" i="3"/>
  <c r="BM38" i="3"/>
  <c r="BM27" i="3"/>
  <c r="BM28" i="3"/>
  <c r="BM37" i="3"/>
  <c r="BM30" i="3"/>
  <c r="BM8" i="3"/>
  <c r="BM26" i="3"/>
  <c r="BM18" i="3"/>
  <c r="BM14" i="3"/>
  <c r="BM20" i="3"/>
  <c r="BM35" i="3"/>
  <c r="BM23" i="3"/>
  <c r="BM29" i="3"/>
  <c r="BM33" i="3"/>
  <c r="BM17" i="3"/>
  <c r="BM31" i="3"/>
  <c r="BN12" i="3"/>
  <c r="BN31" i="3"/>
  <c r="BN22" i="3"/>
  <c r="BN17" i="3"/>
  <c r="BN6" i="3"/>
  <c r="BN26" i="3"/>
  <c r="BN14" i="3"/>
  <c r="BN23" i="3"/>
  <c r="BN25" i="3"/>
  <c r="BN20" i="3"/>
  <c r="BN33" i="3"/>
  <c r="BN28" i="3"/>
  <c r="BN30" i="3"/>
  <c r="BN8" i="3"/>
  <c r="BN18" i="3"/>
  <c r="BN29" i="3"/>
  <c r="BN35" i="3"/>
  <c r="BN34" i="3"/>
  <c r="BN27" i="3"/>
  <c r="BN38" i="3"/>
  <c r="BN11" i="3"/>
  <c r="BN7" i="3"/>
  <c r="BN9" i="3"/>
  <c r="BN37" i="3"/>
  <c r="BN32" i="3"/>
  <c r="BN24" i="3"/>
  <c r="BI29" i="3"/>
  <c r="BI7" i="3"/>
  <c r="BI33" i="3"/>
  <c r="BI31" i="3"/>
  <c r="BI6" i="3"/>
  <c r="BI27" i="3"/>
  <c r="BI11" i="3"/>
  <c r="BI28" i="3"/>
  <c r="BI25" i="3"/>
  <c r="BI22" i="3"/>
  <c r="BI34" i="3"/>
  <c r="BI8" i="3"/>
  <c r="BI23" i="3"/>
  <c r="CQ6" i="3" s="1"/>
  <c r="BI26" i="3"/>
  <c r="BI35" i="3"/>
  <c r="BI32" i="3"/>
  <c r="BI24" i="3"/>
  <c r="BI38" i="3"/>
  <c r="BI9" i="3"/>
  <c r="BI12" i="3"/>
  <c r="BI20" i="3"/>
  <c r="BI30" i="3"/>
  <c r="BI14" i="3"/>
  <c r="BI17" i="3"/>
  <c r="BI37" i="3"/>
  <c r="BP18" i="3"/>
  <c r="BP26" i="3"/>
  <c r="BP27" i="3"/>
  <c r="BP22" i="3"/>
  <c r="BP14" i="3"/>
  <c r="BP8" i="3"/>
  <c r="BP23" i="3"/>
  <c r="BP12" i="3"/>
  <c r="BP11" i="3"/>
  <c r="BP30" i="3"/>
  <c r="BP20" i="3"/>
  <c r="BP33" i="3"/>
  <c r="BP24" i="3"/>
  <c r="BP29" i="3"/>
  <c r="BP17" i="3"/>
  <c r="BP6" i="3"/>
  <c r="BP35" i="3"/>
  <c r="BP28" i="3"/>
  <c r="BP7" i="3"/>
  <c r="BP25" i="3"/>
  <c r="BP38" i="3"/>
  <c r="BP31" i="3"/>
  <c r="BP34" i="3"/>
  <c r="BP37" i="3"/>
  <c r="BP9" i="3"/>
  <c r="BP32" i="3"/>
  <c r="BN15" i="3"/>
  <c r="H10" i="6" s="1"/>
  <c r="L10" i="6" s="1"/>
  <c r="N10" i="6" s="1"/>
  <c r="BM15" i="3"/>
  <c r="H9" i="6" s="1"/>
  <c r="L9" i="6" s="1"/>
  <c r="N9" i="6" s="1"/>
  <c r="BN21" i="3"/>
  <c r="BO30" i="3"/>
  <c r="BO12" i="3"/>
  <c r="BO26" i="3"/>
  <c r="BO7" i="3"/>
  <c r="BO18" i="3"/>
  <c r="BO35" i="3"/>
  <c r="BO14" i="3"/>
  <c r="BO11" i="3"/>
  <c r="BO9" i="3"/>
  <c r="BO31" i="3"/>
  <c r="BO24" i="3"/>
  <c r="BO20" i="3"/>
  <c r="BO38" i="3"/>
  <c r="BO34" i="3"/>
  <c r="BO29" i="3"/>
  <c r="BO17" i="3"/>
  <c r="BO22" i="3"/>
  <c r="BO23" i="3"/>
  <c r="BO32" i="3"/>
  <c r="BO8" i="3"/>
  <c r="BO6" i="3"/>
  <c r="BO33" i="3"/>
  <c r="BO25" i="3"/>
  <c r="BO28" i="3"/>
  <c r="BO37" i="3"/>
  <c r="BO27" i="3"/>
  <c r="BO21" i="3"/>
  <c r="BT15" i="3"/>
  <c r="H18" i="6" s="1"/>
  <c r="L18" i="6" s="1"/>
  <c r="N18" i="6" s="1"/>
  <c r="BP21" i="3"/>
  <c r="BQ37" i="3"/>
  <c r="BQ31" i="3"/>
  <c r="BQ35" i="3"/>
  <c r="BQ26" i="3"/>
  <c r="BQ20" i="3"/>
  <c r="BQ14" i="3"/>
  <c r="BQ8" i="3"/>
  <c r="BQ12" i="3"/>
  <c r="BQ32" i="3"/>
  <c r="BQ6" i="3"/>
  <c r="BQ27" i="3"/>
  <c r="BQ22" i="3"/>
  <c r="BQ7" i="3"/>
  <c r="BQ23" i="3"/>
  <c r="BQ28" i="3"/>
  <c r="BQ24" i="3"/>
  <c r="BQ11" i="3"/>
  <c r="BQ9" i="3"/>
  <c r="BQ34" i="3"/>
  <c r="BQ25" i="3"/>
  <c r="BQ29" i="3"/>
  <c r="BQ33" i="3"/>
  <c r="BQ18" i="3"/>
  <c r="BQ17" i="3"/>
  <c r="BQ38" i="3"/>
  <c r="BQ30" i="3"/>
  <c r="BT12" i="3"/>
  <c r="BT9" i="3"/>
  <c r="BT17" i="3"/>
  <c r="BT7" i="3"/>
  <c r="BT20" i="3"/>
  <c r="BT34" i="3"/>
  <c r="BT25" i="3"/>
  <c r="BT30" i="3"/>
  <c r="BT14" i="3"/>
  <c r="BT33" i="3"/>
  <c r="BT23" i="3"/>
  <c r="BT18" i="3"/>
  <c r="BT11" i="3"/>
  <c r="BT28" i="3"/>
  <c r="BT6" i="3"/>
  <c r="BT27" i="3"/>
  <c r="BT37" i="3"/>
  <c r="BT22" i="3"/>
  <c r="BT24" i="3"/>
  <c r="BT31" i="3"/>
  <c r="BT35" i="3"/>
  <c r="BT38" i="3"/>
  <c r="BT8" i="3"/>
  <c r="BT26" i="3"/>
  <c r="BT32" i="3"/>
  <c r="BT29" i="3"/>
  <c r="BP15" i="3"/>
  <c r="BR38" i="3"/>
  <c r="BR7" i="3"/>
  <c r="BR23" i="3"/>
  <c r="BR17" i="3"/>
  <c r="BR25" i="3"/>
  <c r="BR37" i="3"/>
  <c r="BR26" i="3"/>
  <c r="BR11" i="3"/>
  <c r="BR18" i="3"/>
  <c r="BR35" i="3"/>
  <c r="BR8" i="3"/>
  <c r="BR34" i="3"/>
  <c r="BR24" i="3"/>
  <c r="BR12" i="3"/>
  <c r="BR22" i="3"/>
  <c r="BR29" i="3"/>
  <c r="BR28" i="3"/>
  <c r="BR27" i="3"/>
  <c r="BR33" i="3"/>
  <c r="BR6" i="3"/>
  <c r="BR30" i="3"/>
  <c r="BR14" i="3"/>
  <c r="BR32" i="3"/>
  <c r="BR20" i="3"/>
  <c r="BR31" i="3"/>
  <c r="BR9" i="3"/>
  <c r="BS32" i="3"/>
  <c r="BS25" i="3"/>
  <c r="BS12" i="3"/>
  <c r="BS23" i="3"/>
  <c r="BS27" i="3"/>
  <c r="BS35" i="3"/>
  <c r="BS24" i="3"/>
  <c r="BS29" i="3"/>
  <c r="BS17" i="3"/>
  <c r="BS6" i="3"/>
  <c r="BS8" i="3"/>
  <c r="BS20" i="3"/>
  <c r="BS14" i="3"/>
  <c r="BS9" i="3"/>
  <c r="BS37" i="3"/>
  <c r="BS30" i="3"/>
  <c r="BS18" i="3"/>
  <c r="BS33" i="3"/>
  <c r="BS26" i="3"/>
  <c r="BS31" i="3"/>
  <c r="BS11" i="3"/>
  <c r="BS7" i="3"/>
  <c r="BS38" i="3"/>
  <c r="BS34" i="3"/>
  <c r="BS28" i="3"/>
  <c r="BS22" i="3"/>
  <c r="H15" i="6" l="1"/>
  <c r="L15" i="6" s="1"/>
  <c r="N15" i="6" s="1"/>
  <c r="H14" i="6"/>
  <c r="L14" i="6" s="1"/>
  <c r="N14" i="6" s="1"/>
  <c r="H12" i="6"/>
  <c r="BK40" i="3"/>
  <c r="BL40" i="3"/>
  <c r="H33" i="6"/>
  <c r="L33" i="6" s="1"/>
  <c r="N33" i="6" s="1"/>
  <c r="CS7" i="3"/>
  <c r="H34" i="6"/>
  <c r="L34" i="6" s="1"/>
  <c r="N34" i="6" s="1"/>
  <c r="CT7" i="3"/>
  <c r="H58" i="6"/>
  <c r="L58" i="6" s="1"/>
  <c r="N58" i="6" s="1"/>
  <c r="CR6" i="3"/>
  <c r="H59" i="6"/>
  <c r="L59" i="6" s="1"/>
  <c r="N59" i="6" s="1"/>
  <c r="CS6" i="3"/>
  <c r="H32" i="6"/>
  <c r="L32" i="6" s="1"/>
  <c r="N32" i="6" s="1"/>
  <c r="CR7" i="3"/>
  <c r="H60" i="6"/>
  <c r="L60" i="6" s="1"/>
  <c r="N60" i="6" s="1"/>
  <c r="CT6" i="3"/>
  <c r="BJ40" i="3"/>
  <c r="H57" i="6"/>
  <c r="L57" i="6" s="1"/>
  <c r="N57" i="6" s="1"/>
  <c r="CY7" i="3"/>
  <c r="H41" i="6"/>
  <c r="L41" i="6" s="1"/>
  <c r="N41" i="6" s="1"/>
  <c r="BQ40" i="3"/>
  <c r="BT40" i="3"/>
  <c r="H67" i="6"/>
  <c r="L67" i="6" s="1"/>
  <c r="N67" i="6" s="1"/>
  <c r="CY6" i="3"/>
  <c r="CX7" i="3"/>
  <c r="H40" i="6"/>
  <c r="L40" i="6" s="1"/>
  <c r="N40" i="6" s="1"/>
  <c r="CX6" i="3"/>
  <c r="H66" i="6"/>
  <c r="L66" i="6" s="1"/>
  <c r="N66" i="6" s="1"/>
  <c r="H31" i="6"/>
  <c r="L31" i="6" s="1"/>
  <c r="N31" i="6" s="1"/>
  <c r="CQ7" i="3"/>
  <c r="BN40" i="3"/>
  <c r="BS40" i="3"/>
  <c r="H68" i="6"/>
  <c r="L68" i="6" s="1"/>
  <c r="N68" i="6" s="1"/>
  <c r="CZ6" i="3"/>
  <c r="BP40" i="3"/>
  <c r="BR40" i="3"/>
  <c r="H61" i="6"/>
  <c r="L61" i="6" s="1"/>
  <c r="N61" i="6" s="1"/>
  <c r="CU6" i="3"/>
  <c r="DB7" i="3"/>
  <c r="H44" i="6"/>
  <c r="L44" i="6" s="1"/>
  <c r="N44" i="6" s="1"/>
  <c r="H69" i="6"/>
  <c r="L69" i="6" s="1"/>
  <c r="N69" i="6" s="1"/>
  <c r="DA6" i="3"/>
  <c r="CW7" i="3"/>
  <c r="H37" i="6"/>
  <c r="L37" i="6" s="1"/>
  <c r="N37" i="6" s="1"/>
  <c r="CZ7" i="3"/>
  <c r="H42" i="6"/>
  <c r="L42" i="6" s="1"/>
  <c r="N42" i="6" s="1"/>
  <c r="CU7" i="3"/>
  <c r="H35" i="6"/>
  <c r="L35" i="6" s="1"/>
  <c r="N35" i="6" s="1"/>
  <c r="DA7" i="3"/>
  <c r="H43" i="6"/>
  <c r="L43" i="6" s="1"/>
  <c r="N43" i="6" s="1"/>
  <c r="BO40" i="3"/>
  <c r="BI40" i="3"/>
  <c r="CV7" i="3"/>
  <c r="H36" i="6"/>
  <c r="L36" i="6" s="1"/>
  <c r="N36" i="6" s="1"/>
  <c r="H70" i="6"/>
  <c r="L70" i="6" s="1"/>
  <c r="N70" i="6" s="1"/>
  <c r="DB6" i="3"/>
  <c r="CW6" i="3"/>
  <c r="H63" i="6"/>
  <c r="L63" i="6" s="1"/>
  <c r="N63" i="6" s="1"/>
  <c r="CV6" i="3"/>
  <c r="H62" i="6"/>
  <c r="L62" i="6" s="1"/>
  <c r="N62" i="6" s="1"/>
  <c r="BM40" i="3"/>
</calcChain>
</file>

<file path=xl/sharedStrings.xml><?xml version="1.0" encoding="utf-8"?>
<sst xmlns="http://schemas.openxmlformats.org/spreadsheetml/2006/main" count="262" uniqueCount="244">
  <si>
    <t>Sample</t>
  </si>
  <si>
    <t>Time</t>
  </si>
  <si>
    <t>TTR</t>
  </si>
  <si>
    <t>TTR - background</t>
  </si>
  <si>
    <t>%16:0</t>
  </si>
  <si>
    <t>TG concentration (umol/l)</t>
  </si>
  <si>
    <t>16:0 concentration (umol/l)</t>
  </si>
  <si>
    <t>U13C-16:0 concentration (umol/l)</t>
  </si>
  <si>
    <t>TG µmol per litre fraction</t>
  </si>
  <si>
    <t>TG</t>
  </si>
  <si>
    <t>volume (ml)</t>
  </si>
  <si>
    <t>fatty acids expressed as mol %</t>
  </si>
  <si>
    <t>Time Point</t>
  </si>
  <si>
    <t>C14:0, µmol/l</t>
  </si>
  <si>
    <t>C16:0, µmol/l</t>
  </si>
  <si>
    <t>C16:1, µmol/l</t>
  </si>
  <si>
    <t>C18:0, µmol/l</t>
  </si>
  <si>
    <t>C18:1, µmol/l</t>
  </si>
  <si>
    <t>C18:2, µmol/l</t>
  </si>
  <si>
    <t>18:3 g</t>
  </si>
  <si>
    <t>C18:3, µmol/l</t>
  </si>
  <si>
    <t>18:3 a</t>
  </si>
  <si>
    <t>C20:0, µmol/l</t>
  </si>
  <si>
    <t>C20:1, µmol/l</t>
  </si>
  <si>
    <t>C20:2, µmol/l</t>
  </si>
  <si>
    <t>20:3/21:0</t>
  </si>
  <si>
    <t>C20:3, µmol/l</t>
  </si>
  <si>
    <t>C20:4, µmol/l</t>
  </si>
  <si>
    <t>C20:5, µmol/l</t>
  </si>
  <si>
    <t>C22:5, µmol/l</t>
  </si>
  <si>
    <t>C22:6, µmol/l</t>
  </si>
  <si>
    <t>total GC</t>
  </si>
  <si>
    <t>recovery</t>
  </si>
  <si>
    <t>16:1/16:0</t>
  </si>
  <si>
    <t>18.01v</t>
  </si>
  <si>
    <t>%16:01</t>
  </si>
  <si>
    <t>16:01 concentration (umol/l)</t>
  </si>
  <si>
    <t>U13C-16:1 concentration (umol/l)</t>
  </si>
  <si>
    <t>18:2 concentration (umol/l)</t>
  </si>
  <si>
    <t>%18:2</t>
  </si>
  <si>
    <t>U13C-18:2 concentration (umol/l)</t>
  </si>
  <si>
    <t>Background</t>
  </si>
  <si>
    <t>TAG</t>
  </si>
  <si>
    <t>16:sap</t>
  </si>
  <si>
    <t>17:0</t>
  </si>
  <si>
    <t>10:0</t>
  </si>
  <si>
    <t>11:0</t>
  </si>
  <si>
    <t>12:0</t>
  </si>
  <si>
    <t>14:0</t>
  </si>
  <si>
    <t>15:0</t>
  </si>
  <si>
    <t>16:0</t>
  </si>
  <si>
    <t>18:0</t>
  </si>
  <si>
    <t>20:0</t>
  </si>
  <si>
    <t>22:0</t>
  </si>
  <si>
    <t>23:0</t>
  </si>
  <si>
    <t>8:0</t>
  </si>
  <si>
    <t>14:1</t>
  </si>
  <si>
    <t>15:1</t>
  </si>
  <si>
    <t>16:1</t>
  </si>
  <si>
    <t>17:1</t>
  </si>
  <si>
    <t>18:1</t>
  </si>
  <si>
    <t>18:2</t>
  </si>
  <si>
    <t>20:1</t>
  </si>
  <si>
    <t>20:2</t>
  </si>
  <si>
    <t>20:3</t>
  </si>
  <si>
    <t>20:4</t>
  </si>
  <si>
    <t>20:5</t>
  </si>
  <si>
    <t>22:1</t>
  </si>
  <si>
    <t>22:2</t>
  </si>
  <si>
    <t>22:5</t>
  </si>
  <si>
    <t>22:6</t>
  </si>
  <si>
    <t>18.1v</t>
  </si>
  <si>
    <t>18:3g</t>
  </si>
  <si>
    <t>18:3a</t>
  </si>
  <si>
    <t>µg Int std TG =</t>
  </si>
  <si>
    <t>µg ext std =</t>
  </si>
  <si>
    <t>Sample:</t>
  </si>
  <si>
    <t>Volume Standards =</t>
  </si>
  <si>
    <t>13:0/BHT</t>
  </si>
  <si>
    <t>16:s</t>
  </si>
  <si>
    <t>18:2/16:0</t>
  </si>
  <si>
    <r>
      <rPr>
        <sz val="10"/>
        <rFont val="Calibri"/>
        <family val="2"/>
      </rPr>
      <t>150µ</t>
    </r>
    <r>
      <rPr>
        <sz val="8.5"/>
        <rFont val="Arial"/>
        <family val="2"/>
      </rPr>
      <t>l</t>
    </r>
  </si>
  <si>
    <t>OPLA 0.1</t>
  </si>
  <si>
    <t>OPLA 0.2</t>
  </si>
  <si>
    <t>OPLA 0.3</t>
  </si>
  <si>
    <t>OPLA 2.1</t>
  </si>
  <si>
    <t>OPLA 2.2</t>
  </si>
  <si>
    <t>OPLA 2.3</t>
  </si>
  <si>
    <t>OPLA 8.1</t>
  </si>
  <si>
    <t>OPLA 8.2</t>
  </si>
  <si>
    <t>OPLA 8.3</t>
  </si>
  <si>
    <t>OPLA 0.4</t>
  </si>
  <si>
    <t>OPLA 0.5</t>
  </si>
  <si>
    <t>OPLA 0.6</t>
  </si>
  <si>
    <t>OPLA 0.7</t>
  </si>
  <si>
    <t>OPLA 0.8</t>
  </si>
  <si>
    <t>OPLA 0.9</t>
  </si>
  <si>
    <t>OPLA 2.4</t>
  </si>
  <si>
    <t>OPLA 2.5</t>
  </si>
  <si>
    <t>OPLA 2.6</t>
  </si>
  <si>
    <t>OPLA 2.7</t>
  </si>
  <si>
    <t>OPLA 2.8</t>
  </si>
  <si>
    <t>OPLA 2.9</t>
  </si>
  <si>
    <t>OPLA 8.4</t>
  </si>
  <si>
    <t>OPLA 8.5</t>
  </si>
  <si>
    <t>OPLA 8.6</t>
  </si>
  <si>
    <t>OPLA 8.7</t>
  </si>
  <si>
    <t>OPLA 8.8</t>
  </si>
  <si>
    <t>OPLA 8.9</t>
  </si>
  <si>
    <t>90.5912</t>
  </si>
  <si>
    <t>51.3615</t>
  </si>
  <si>
    <t>123.9022</t>
  </si>
  <si>
    <t>57.8532</t>
  </si>
  <si>
    <t>241.1073</t>
  </si>
  <si>
    <t>235.2502</t>
  </si>
  <si>
    <t>253.1650</t>
  </si>
  <si>
    <t>210.0910</t>
  </si>
  <si>
    <t>265.4598</t>
  </si>
  <si>
    <t>294.0255</t>
  </si>
  <si>
    <t>10101.9902</t>
  </si>
  <si>
    <t>9342.5781</t>
  </si>
  <si>
    <t>8509.6357</t>
  </si>
  <si>
    <t>6293.4707</t>
  </si>
  <si>
    <t>10715.7041</t>
  </si>
  <si>
    <t>10812.4258</t>
  </si>
  <si>
    <t>789.3038</t>
  </si>
  <si>
    <t>1313.3916</t>
  </si>
  <si>
    <t>974.9233</t>
  </si>
  <si>
    <t>1020.4738</t>
  </si>
  <si>
    <t>1453.2332</t>
  </si>
  <si>
    <t>1120.6677</t>
  </si>
  <si>
    <t>1514.3253</t>
  </si>
  <si>
    <t>1487.8322</t>
  </si>
  <si>
    <t>1352.6354</t>
  </si>
  <si>
    <t>1454.1211</t>
  </si>
  <si>
    <t>1637.8214</t>
  </si>
  <si>
    <t>1493.2690</t>
  </si>
  <si>
    <t>953.4045</t>
  </si>
  <si>
    <t>1168.8877</t>
  </si>
  <si>
    <t>1124.2815</t>
  </si>
  <si>
    <t>718.0640</t>
  </si>
  <si>
    <t>617.5596</t>
  </si>
  <si>
    <t>500.7346</t>
  </si>
  <si>
    <t>1057.2197</t>
  </si>
  <si>
    <t>811.9260</t>
  </si>
  <si>
    <t>842.6141</t>
  </si>
  <si>
    <t>1272.9814</t>
  </si>
  <si>
    <t>1079.9814</t>
  </si>
  <si>
    <t>5550.6992</t>
  </si>
  <si>
    <t>5958.5884</t>
  </si>
  <si>
    <t>5966.4907</t>
  </si>
  <si>
    <t>5346.3662</t>
  </si>
  <si>
    <t>6788.5142</t>
  </si>
  <si>
    <t>6352.6074</t>
  </si>
  <si>
    <t>184.7241</t>
  </si>
  <si>
    <t>139.9272</t>
  </si>
  <si>
    <t>198.6890</t>
  </si>
  <si>
    <t>244.4139</t>
  </si>
  <si>
    <t>157.2466</t>
  </si>
  <si>
    <t>421.5763</t>
  </si>
  <si>
    <t>585.1436</t>
  </si>
  <si>
    <t>514.6823</t>
  </si>
  <si>
    <t>496.9091</t>
  </si>
  <si>
    <t>787.1721</t>
  </si>
  <si>
    <t>619.8956</t>
  </si>
  <si>
    <t>239.5800</t>
  </si>
  <si>
    <t>547.3601</t>
  </si>
  <si>
    <t>258.7943</t>
  </si>
  <si>
    <t>215.3560</t>
  </si>
  <si>
    <t>343.9264</t>
  </si>
  <si>
    <t>381.4141</t>
  </si>
  <si>
    <t>226.2306</t>
  </si>
  <si>
    <t>684.0268</t>
  </si>
  <si>
    <t>978.7969</t>
  </si>
  <si>
    <t>825.8823</t>
  </si>
  <si>
    <t>766.8342</t>
  </si>
  <si>
    <t>944.5797</t>
  </si>
  <si>
    <t>898.5949</t>
  </si>
  <si>
    <t>456.7068</t>
  </si>
  <si>
    <t>437.0486</t>
  </si>
  <si>
    <t>730.6750</t>
  </si>
  <si>
    <t>831.6392</t>
  </si>
  <si>
    <t>793.7132</t>
  </si>
  <si>
    <t>635.6973</t>
  </si>
  <si>
    <t>844.5223</t>
  </si>
  <si>
    <t>787.2761</t>
  </si>
  <si>
    <t>1571.3676</t>
  </si>
  <si>
    <t>2118.8706</t>
  </si>
  <si>
    <t>1955.9019</t>
  </si>
  <si>
    <t>778.7027</t>
  </si>
  <si>
    <t>1337.2318</t>
  </si>
  <si>
    <t>1068.8701</t>
  </si>
  <si>
    <t>1811.6366</t>
  </si>
  <si>
    <t>3708.8296</t>
  </si>
  <si>
    <t>2879.2048</t>
  </si>
  <si>
    <t>3277.4141</t>
  </si>
  <si>
    <t>5030.2324</t>
  </si>
  <si>
    <t>4088.0967</t>
  </si>
  <si>
    <t>15427.8730</t>
  </si>
  <si>
    <t>17234.9609</t>
  </si>
  <si>
    <t>16352.7881</t>
  </si>
  <si>
    <t>15203.6523</t>
  </si>
  <si>
    <t>19986.8262</t>
  </si>
  <si>
    <t>18903.3008</t>
  </si>
  <si>
    <t>432.7260</t>
  </si>
  <si>
    <t>568.4725</t>
  </si>
  <si>
    <t>538.1964</t>
  </si>
  <si>
    <t>145.9853</t>
  </si>
  <si>
    <t>366.6845</t>
  </si>
  <si>
    <t>273.7926</t>
  </si>
  <si>
    <t>350.4580</t>
  </si>
  <si>
    <t>662.0326</t>
  </si>
  <si>
    <t>585.5858</t>
  </si>
  <si>
    <t>3186.4404</t>
  </si>
  <si>
    <t>3597.1699</t>
  </si>
  <si>
    <t>3410.7556</t>
  </si>
  <si>
    <t>3096.7666</t>
  </si>
  <si>
    <t>4083.2332</t>
  </si>
  <si>
    <t>3842.9397</t>
  </si>
  <si>
    <t>461.3248</t>
  </si>
  <si>
    <t>542.7094</t>
  </si>
  <si>
    <t>676.7864</t>
  </si>
  <si>
    <t>645.7053</t>
  </si>
  <si>
    <t>375.0510</t>
  </si>
  <si>
    <t>515.3043</t>
  </si>
  <si>
    <t>486.2425</t>
  </si>
  <si>
    <t>21321.3535</t>
  </si>
  <si>
    <t>21707.6094</t>
  </si>
  <si>
    <t>21869.2773</t>
  </si>
  <si>
    <t>22185.0742</t>
  </si>
  <si>
    <t>26228.3418</t>
  </si>
  <si>
    <t>24807.8281</t>
  </si>
  <si>
    <t>1805.7888</t>
  </si>
  <si>
    <t>2478.4673</t>
  </si>
  <si>
    <t>2304.3887</t>
  </si>
  <si>
    <t>2184.2656</t>
  </si>
  <si>
    <t>2553.6467</t>
  </si>
  <si>
    <t>2572.2612</t>
  </si>
  <si>
    <t>2777.3735</t>
  </si>
  <si>
    <t>2758.1902</t>
  </si>
  <si>
    <t>2697.4680</t>
  </si>
  <si>
    <t>2849.5269</t>
  </si>
  <si>
    <t>2772.8423</t>
  </si>
  <si>
    <t>2829.7087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</si>
</sst>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hh:m"/>
    <numFmt numFmtId="167" formatCode="0.000"/>
  </numFmts>
  <fonts count="3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Calibri"/>
      <family val="2"/>
    </font>
    <font>
      <sz val="8.5"/>
      <name val="Arial"/>
      <family val="2"/>
    </font>
    <font>
      <b/>
      <sz val="10"/>
      <color rgb="FFCC99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2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4" applyNumberFormat="0" applyAlignment="0" applyProtection="0"/>
    <xf numFmtId="0" fontId="24" fillId="9" borderId="5" applyNumberFormat="0" applyAlignment="0" applyProtection="0"/>
    <xf numFmtId="0" fontId="25" fillId="9" borderId="4" applyNumberFormat="0" applyAlignment="0" applyProtection="0"/>
    <xf numFmtId="0" fontId="26" fillId="0" borderId="6" applyNumberFormat="0" applyFill="0" applyAlignment="0" applyProtection="0"/>
    <xf numFmtId="0" fontId="27" fillId="10" borderId="7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1" fillId="35" borderId="0" applyNumberFormat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11" borderId="8" applyNumberFormat="0" applyFont="0" applyAlignment="0" applyProtection="0"/>
    <xf numFmtId="0" fontId="4" fillId="0" borderId="0"/>
  </cellStyleXfs>
  <cellXfs count="88">
    <xf numFmtId="0" fontId="0" fillId="0" borderId="0" xfId="0"/>
    <xf numFmtId="0" fontId="10" fillId="2" borderId="0" xfId="0" applyFont="1" applyFill="1"/>
    <xf numFmtId="20" fontId="0" fillId="3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ill="1"/>
    <xf numFmtId="0" fontId="0" fillId="0" borderId="0" xfId="0" quotePrefix="1" applyNumberFormat="1"/>
    <xf numFmtId="20" fontId="0" fillId="0" borderId="0" xfId="0" applyNumberFormat="1" applyFill="1"/>
    <xf numFmtId="0" fontId="0" fillId="0" borderId="0" xfId="0" applyFill="1" applyAlignment="1">
      <alignment wrapText="1"/>
    </xf>
    <xf numFmtId="0" fontId="10" fillId="0" borderId="0" xfId="0" applyFont="1" applyFill="1"/>
    <xf numFmtId="0" fontId="11" fillId="2" borderId="0" xfId="0" applyFont="1" applyFill="1" applyAlignment="1">
      <alignment wrapText="1"/>
    </xf>
    <xf numFmtId="0" fontId="11" fillId="0" borderId="0" xfId="0" applyFont="1" applyFill="1" applyAlignment="1">
      <alignment wrapText="1"/>
    </xf>
    <xf numFmtId="0" fontId="10" fillId="0" borderId="0" xfId="0" quotePrefix="1" applyNumberFormat="1" applyFont="1"/>
    <xf numFmtId="0" fontId="12" fillId="0" borderId="0" xfId="1"/>
    <xf numFmtId="164" fontId="12" fillId="0" borderId="0" xfId="1" quotePrefix="1" applyNumberFormat="1" applyFont="1" applyBorder="1" applyAlignment="1">
      <alignment horizontal="center"/>
    </xf>
    <xf numFmtId="0" fontId="13" fillId="0" borderId="0" xfId="1" applyFont="1"/>
    <xf numFmtId="165" fontId="13" fillId="0" borderId="0" xfId="1" applyNumberFormat="1" applyFont="1" applyAlignment="1">
      <alignment horizontal="right"/>
    </xf>
    <xf numFmtId="165" fontId="12" fillId="0" borderId="0" xfId="1" applyNumberFormat="1" applyAlignment="1">
      <alignment horizontal="right"/>
    </xf>
    <xf numFmtId="0" fontId="12" fillId="0" borderId="0" xfId="1" applyFont="1"/>
    <xf numFmtId="0" fontId="15" fillId="0" borderId="0" xfId="1" applyFont="1"/>
    <xf numFmtId="2" fontId="12" fillId="0" borderId="0" xfId="1" applyNumberFormat="1" applyFont="1"/>
    <xf numFmtId="164" fontId="12" fillId="0" borderId="0" xfId="1" applyNumberFormat="1"/>
    <xf numFmtId="0" fontId="14" fillId="0" borderId="0" xfId="1" applyFont="1" applyFill="1"/>
    <xf numFmtId="1" fontId="14" fillId="0" borderId="0" xfId="1" applyNumberFormat="1" applyFont="1" applyBorder="1"/>
    <xf numFmtId="1" fontId="14" fillId="0" borderId="0" xfId="1" applyNumberFormat="1" applyFont="1" applyBorder="1" applyAlignment="1">
      <alignment horizontal="center"/>
    </xf>
    <xf numFmtId="0" fontId="12" fillId="0" borderId="0" xfId="1" applyFont="1" applyBorder="1"/>
    <xf numFmtId="3" fontId="12" fillId="0" borderId="0" xfId="1" quotePrefix="1" applyNumberFormat="1" applyFont="1" applyBorder="1" applyAlignment="1">
      <alignment horizontal="center"/>
    </xf>
    <xf numFmtId="164" fontId="14" fillId="0" borderId="0" xfId="1" applyNumberFormat="1" applyFont="1" applyBorder="1" applyAlignment="1">
      <alignment horizontal="center"/>
    </xf>
    <xf numFmtId="20" fontId="9" fillId="0" borderId="0" xfId="2" applyNumberFormat="1"/>
    <xf numFmtId="164" fontId="14" fillId="0" borderId="0" xfId="1" quotePrefix="1" applyNumberFormat="1" applyFont="1" applyBorder="1" applyAlignment="1">
      <alignment horizontal="center"/>
    </xf>
    <xf numFmtId="165" fontId="12" fillId="0" borderId="0" xfId="1" applyNumberFormat="1" applyFont="1"/>
    <xf numFmtId="0" fontId="12" fillId="0" borderId="0" xfId="1" applyBorder="1"/>
    <xf numFmtId="0" fontId="9" fillId="0" borderId="0" xfId="2"/>
    <xf numFmtId="0" fontId="16" fillId="0" borderId="0" xfId="1" applyFont="1"/>
    <xf numFmtId="165" fontId="12" fillId="0" borderId="0" xfId="1" applyNumberFormat="1"/>
    <xf numFmtId="166" fontId="14" fillId="0" borderId="0" xfId="1" applyNumberFormat="1" applyFont="1"/>
    <xf numFmtId="165" fontId="12" fillId="0" borderId="0" xfId="1" applyNumberFormat="1" applyFont="1" applyFill="1"/>
    <xf numFmtId="0" fontId="12" fillId="0" borderId="0" xfId="1" applyFill="1"/>
    <xf numFmtId="1" fontId="12" fillId="0" borderId="0" xfId="1" applyNumberFormat="1"/>
    <xf numFmtId="2" fontId="12" fillId="0" borderId="0" xfId="1" applyNumberFormat="1"/>
    <xf numFmtId="0" fontId="16" fillId="0" borderId="0" xfId="1" applyFont="1" applyFill="1"/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 wrapText="1"/>
    </xf>
    <xf numFmtId="0" fontId="14" fillId="0" borderId="0" xfId="1" applyFont="1" applyAlignment="1">
      <alignment horizontal="center"/>
    </xf>
    <xf numFmtId="2" fontId="12" fillId="0" borderId="0" xfId="1" applyNumberFormat="1" applyAlignment="1">
      <alignment horizontal="center"/>
    </xf>
    <xf numFmtId="3" fontId="12" fillId="0" borderId="0" xfId="1" applyNumberFormat="1" applyAlignment="1">
      <alignment horizontal="center"/>
    </xf>
    <xf numFmtId="1" fontId="12" fillId="0" borderId="0" xfId="1" applyNumberFormat="1" applyAlignment="1">
      <alignment horizontal="center"/>
    </xf>
    <xf numFmtId="1" fontId="12" fillId="0" borderId="0" xfId="1" applyNumberFormat="1" applyFont="1" applyFill="1"/>
    <xf numFmtId="165" fontId="12" fillId="0" borderId="0" xfId="1" applyNumberFormat="1" applyFill="1"/>
    <xf numFmtId="49" fontId="12" fillId="0" borderId="0" xfId="1" applyNumberFormat="1" applyFill="1"/>
    <xf numFmtId="1" fontId="12" fillId="4" borderId="0" xfId="1" applyNumberFormat="1" applyFont="1" applyFill="1"/>
    <xf numFmtId="0" fontId="12" fillId="4" borderId="0" xfId="1" applyFill="1"/>
    <xf numFmtId="167" fontId="12" fillId="4" borderId="0" xfId="1" applyNumberFormat="1" applyFill="1"/>
    <xf numFmtId="165" fontId="12" fillId="4" borderId="0" xfId="1" applyNumberFormat="1" applyFont="1" applyFill="1"/>
    <xf numFmtId="2" fontId="0" fillId="0" borderId="0" xfId="0" applyNumberFormat="1" applyFill="1"/>
    <xf numFmtId="167" fontId="0" fillId="0" borderId="0" xfId="0" applyNumberFormat="1" applyFill="1"/>
    <xf numFmtId="20" fontId="9" fillId="0" borderId="0" xfId="2" applyNumberFormat="1" applyFill="1"/>
    <xf numFmtId="20" fontId="8" fillId="0" borderId="0" xfId="2" applyNumberFormat="1" applyFont="1"/>
    <xf numFmtId="164" fontId="12" fillId="0" borderId="0" xfId="0" quotePrefix="1" applyNumberFormat="1" applyFont="1" applyBorder="1" applyAlignment="1" applyProtection="1">
      <alignment wrapText="1"/>
      <protection locked="0"/>
    </xf>
    <xf numFmtId="0" fontId="11" fillId="0" borderId="0" xfId="0" applyFont="1"/>
    <xf numFmtId="0" fontId="11" fillId="2" borderId="0" xfId="0" applyFont="1" applyFill="1"/>
    <xf numFmtId="0" fontId="14" fillId="0" borderId="0" xfId="1" applyFont="1" applyFill="1" applyAlignment="1">
      <alignment horizontal="center"/>
    </xf>
    <xf numFmtId="0" fontId="12" fillId="0" borderId="0" xfId="1" applyFill="1" applyAlignment="1">
      <alignment horizontal="center"/>
    </xf>
    <xf numFmtId="20" fontId="0" fillId="0" borderId="0" xfId="0" quotePrefix="1" applyNumberFormat="1" applyFill="1"/>
    <xf numFmtId="20" fontId="0" fillId="2" borderId="0" xfId="0" applyNumberFormat="1" applyFill="1"/>
    <xf numFmtId="20" fontId="16" fillId="0" borderId="0" xfId="1" applyNumberFormat="1" applyFont="1"/>
    <xf numFmtId="1" fontId="14" fillId="0" borderId="0" xfId="1" applyNumberFormat="1" applyFont="1" applyFill="1" applyBorder="1"/>
    <xf numFmtId="0" fontId="12" fillId="0" borderId="0" xfId="1" applyFont="1" applyFill="1" applyBorder="1"/>
    <xf numFmtId="0" fontId="14" fillId="36" borderId="0" xfId="1" applyFont="1" applyFill="1" applyAlignment="1">
      <alignment horizontal="center"/>
    </xf>
    <xf numFmtId="0" fontId="12" fillId="36" borderId="0" xfId="1" applyFill="1" applyAlignment="1">
      <alignment horizontal="center"/>
    </xf>
    <xf numFmtId="0" fontId="14" fillId="36" borderId="0" xfId="1" applyFont="1" applyFill="1"/>
    <xf numFmtId="0" fontId="14" fillId="36" borderId="0" xfId="1" applyFont="1" applyFill="1" applyAlignment="1">
      <alignment wrapText="1"/>
    </xf>
    <xf numFmtId="20" fontId="9" fillId="0" borderId="0" xfId="2" applyNumberFormat="1" applyAlignment="1">
      <alignment horizontal="right"/>
    </xf>
    <xf numFmtId="0" fontId="9" fillId="0" borderId="0" xfId="2" applyAlignment="1">
      <alignment horizontal="right"/>
    </xf>
    <xf numFmtId="20" fontId="3" fillId="0" borderId="0" xfId="2" applyNumberFormat="1" applyFont="1" applyAlignment="1">
      <alignment horizontal="right"/>
    </xf>
    <xf numFmtId="20" fontId="9" fillId="0" borderId="0" xfId="2" applyNumberFormat="1" applyFill="1" applyAlignment="1">
      <alignment horizontal="right"/>
    </xf>
    <xf numFmtId="20" fontId="8" fillId="0" borderId="0" xfId="2" applyNumberFormat="1" applyFont="1" applyAlignment="1">
      <alignment horizontal="right"/>
    </xf>
    <xf numFmtId="49" fontId="9" fillId="0" borderId="0" xfId="2" applyNumberFormat="1" applyAlignment="1">
      <alignment horizontal="right"/>
    </xf>
    <xf numFmtId="49" fontId="3" fillId="0" borderId="0" xfId="2" applyNumberFormat="1" applyFont="1" applyAlignment="1">
      <alignment horizontal="right"/>
    </xf>
    <xf numFmtId="49" fontId="2" fillId="0" borderId="0" xfId="2" applyNumberFormat="1" applyFont="1" applyAlignment="1">
      <alignment horizontal="right"/>
    </xf>
    <xf numFmtId="49" fontId="30" fillId="0" borderId="0" xfId="2" applyNumberFormat="1" applyFont="1" applyAlignment="1">
      <alignment horizontal="right"/>
    </xf>
    <xf numFmtId="49" fontId="30" fillId="0" borderId="0" xfId="2" applyNumberFormat="1" applyFont="1" applyFill="1" applyAlignment="1">
      <alignment horizontal="right"/>
    </xf>
    <xf numFmtId="0" fontId="12" fillId="0" borderId="0" xfId="1" quotePrefix="1" applyAlignment="1">
      <alignment horizontal="left"/>
    </xf>
    <xf numFmtId="0" fontId="35" fillId="0" borderId="0" xfId="1" applyFont="1" applyAlignment="1">
      <alignment horizontal="center"/>
    </xf>
    <xf numFmtId="20" fontId="1" fillId="0" borderId="0" xfId="2" applyNumberFormat="1" applyFont="1"/>
    <xf numFmtId="0" fontId="12" fillId="0" borderId="0" xfId="1" applyFont="1" applyAlignment="1">
      <alignment horizontal="center"/>
    </xf>
    <xf numFmtId="1" fontId="12" fillId="0" borderId="0" xfId="1" applyNumberFormat="1" applyFont="1" applyAlignment="1">
      <alignment horizontal="center"/>
    </xf>
  </cellXfs>
  <cellStyles count="5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1" xr:uid="{00000000-0005-0000-0000-000025000000}"/>
    <cellStyle name="Normal 3" xfId="2" xr:uid="{00000000-0005-0000-0000-000026000000}"/>
    <cellStyle name="Normal 3 2" xfId="49" xr:uid="{00000000-0005-0000-0000-000027000000}"/>
    <cellStyle name="Normal 4" xfId="3" xr:uid="{00000000-0005-0000-0000-000028000000}"/>
    <cellStyle name="Normal 5" xfId="4" xr:uid="{00000000-0005-0000-0000-000029000000}"/>
    <cellStyle name="Normal 6" xfId="5" xr:uid="{00000000-0005-0000-0000-00002A000000}"/>
    <cellStyle name="Normal 7" xfId="6" xr:uid="{00000000-0005-0000-0000-00002B000000}"/>
    <cellStyle name="Normal 8" xfId="46" xr:uid="{00000000-0005-0000-0000-00002C000000}"/>
    <cellStyle name="Note 2" xfId="48" xr:uid="{00000000-0005-0000-0000-00002D000000}"/>
    <cellStyle name="Output" xfId="15" builtinId="21" customBuiltin="1"/>
    <cellStyle name="Title 2" xfId="47" xr:uid="{00000000-0005-0000-0000-00002F000000}"/>
    <cellStyle name="Total" xfId="21" builtinId="25" customBuiltin="1"/>
    <cellStyle name="Warning Text" xfId="19" builtinId="11" customBuiltin="1"/>
  </cellStyles>
  <dxfs count="0"/>
  <tableStyles count="0" defaultTableStyle="TableStyleMedium9" defaultPivotStyle="PivotStyleLight16"/>
  <colors>
    <mruColors>
      <color rgb="FFCC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Fatty acid composition of</a:t>
            </a:r>
            <a:r>
              <a:rPr lang="en-GB" baseline="0"/>
              <a:t> </a:t>
            </a:r>
            <a:r>
              <a:rPr lang="en-GB"/>
              <a:t>TG</a:t>
            </a:r>
          </a:p>
        </c:rich>
      </c:tx>
      <c:layout>
        <c:manualLayout>
          <c:xMode val="edge"/>
          <c:yMode val="edge"/>
          <c:x val="0.20382165605095537"/>
          <c:y val="2.87356321839080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94309376666568E-2"/>
          <c:y val="0.1236692416602499"/>
          <c:w val="0.92429264569020508"/>
          <c:h val="0.7441484719772804"/>
        </c:manualLayout>
      </c:layout>
      <c:barChart>
        <c:barDir val="col"/>
        <c:grouping val="clustered"/>
        <c:varyColors val="0"/>
        <c:ser>
          <c:idx val="0"/>
          <c:order val="0"/>
          <c:tx>
            <c:v>16:00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'GC data'!$BI$5:$CI$5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data'!$BI$15:$BX$15</c:f>
              <c:numCache>
                <c:formatCode>0.0</c:formatCode>
                <c:ptCount val="16"/>
                <c:pt idx="0">
                  <c:v>23.49060413244359</c:v>
                </c:pt>
                <c:pt idx="1">
                  <c:v>24.851808394762781</c:v>
                </c:pt>
                <c:pt idx="2">
                  <c:v>26.001895646198022</c:v>
                </c:pt>
                <c:pt idx="3">
                  <c:v>20.214555984747676</c:v>
                </c:pt>
                <c:pt idx="4">
                  <c:v>20.481115742917307</c:v>
                </c:pt>
                <c:pt idx="5">
                  <c:v>21.287384794809146</c:v>
                </c:pt>
                <c:pt idx="6">
                  <c:v>26.34485681039407</c:v>
                </c:pt>
                <c:pt idx="7">
                  <c:v>26.166337646368753</c:v>
                </c:pt>
                <c:pt idx="8">
                  <c:v>26.285097338013639</c:v>
                </c:pt>
                <c:pt idx="9">
                  <c:v>29.131084581030137</c:v>
                </c:pt>
                <c:pt idx="10">
                  <c:v>27.425682008987099</c:v>
                </c:pt>
                <c:pt idx="11">
                  <c:v>25.938355363556234</c:v>
                </c:pt>
                <c:pt idx="12">
                  <c:v>0</c:v>
                </c:pt>
                <c:pt idx="13">
                  <c:v>28.098940280665808</c:v>
                </c:pt>
                <c:pt idx="14">
                  <c:v>28.293370461685207</c:v>
                </c:pt>
                <c:pt idx="15">
                  <c:v>21.971028983492328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A-42B9-A469-D57064A43134}"/>
            </c:ext>
          </c:extLst>
        </c:ser>
        <c:ser>
          <c:idx val="1"/>
          <c:order val="1"/>
          <c:tx>
            <c:v>18:2n-6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'GC data'!$BI$5:$CI$5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data'!$BI$23:$BX$23</c:f>
              <c:numCache>
                <c:formatCode>0.0</c:formatCode>
                <c:ptCount val="16"/>
                <c:pt idx="0">
                  <c:v>4.164184447248247</c:v>
                </c:pt>
                <c:pt idx="1">
                  <c:v>2.7868434489017604</c:v>
                </c:pt>
                <c:pt idx="2">
                  <c:v>3.0600546897406105</c:v>
                </c:pt>
                <c:pt idx="3">
                  <c:v>8.6351000997269942</c:v>
                </c:pt>
                <c:pt idx="4">
                  <c:v>8.9143317498180377</c:v>
                </c:pt>
                <c:pt idx="5">
                  <c:v>9.2205879345152457</c:v>
                </c:pt>
                <c:pt idx="6">
                  <c:v>11.530176228999927</c:v>
                </c:pt>
                <c:pt idx="7">
                  <c:v>11.650675344060426</c:v>
                </c:pt>
                <c:pt idx="8">
                  <c:v>11.900397288652165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5.8572253549060322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0A-42B9-A469-D57064A43134}"/>
            </c:ext>
          </c:extLst>
        </c:ser>
        <c:ser>
          <c:idx val="2"/>
          <c:order val="2"/>
          <c:tx>
            <c:v>18:1n-9</c:v>
          </c:tx>
          <c:invertIfNegative val="0"/>
          <c:cat>
            <c:strRef>
              <c:f>'GC data'!$BI$5:$CI$5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data'!$BI$21:$BX$21</c:f>
              <c:numCache>
                <c:formatCode>0.0</c:formatCode>
                <c:ptCount val="16"/>
                <c:pt idx="0">
                  <c:v>33.71065645719964</c:v>
                </c:pt>
                <c:pt idx="1">
                  <c:v>33.03102286570256</c:v>
                </c:pt>
                <c:pt idx="2">
                  <c:v>33.293563882637173</c:v>
                </c:pt>
                <c:pt idx="3">
                  <c:v>59.626136710315045</c:v>
                </c:pt>
                <c:pt idx="4">
                  <c:v>56.66085462963639</c:v>
                </c:pt>
                <c:pt idx="5">
                  <c:v>55.366224511500263</c:v>
                </c:pt>
                <c:pt idx="6">
                  <c:v>51.706471946409685</c:v>
                </c:pt>
                <c:pt idx="7">
                  <c:v>51.40796681352834</c:v>
                </c:pt>
                <c:pt idx="8">
                  <c:v>51.742963028792623</c:v>
                </c:pt>
                <c:pt idx="9">
                  <c:v>43.59237986800553</c:v>
                </c:pt>
                <c:pt idx="10">
                  <c:v>45.138010275240134</c:v>
                </c:pt>
                <c:pt idx="11">
                  <c:v>40.970170239440186</c:v>
                </c:pt>
                <c:pt idx="12">
                  <c:v>100</c:v>
                </c:pt>
                <c:pt idx="13">
                  <c:v>47.510194846390881</c:v>
                </c:pt>
                <c:pt idx="14">
                  <c:v>44.46149543442391</c:v>
                </c:pt>
                <c:pt idx="15">
                  <c:v>72.171745661601648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0A-42B9-A469-D57064A43134}"/>
            </c:ext>
          </c:extLst>
        </c:ser>
        <c:ser>
          <c:idx val="3"/>
          <c:order val="3"/>
          <c:tx>
            <c:strRef>
              <c:f>'GC data'!$BH$32</c:f>
              <c:strCache>
                <c:ptCount val="1"/>
                <c:pt idx="0">
                  <c:v>20:05</c:v>
                </c:pt>
              </c:strCache>
            </c:strRef>
          </c:tx>
          <c:invertIfNegative val="0"/>
          <c:cat>
            <c:strRef>
              <c:f>'GC data'!$BI$5:$CI$5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data'!$BI$32:$BX$32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0A-42B9-A469-D57064A43134}"/>
            </c:ext>
          </c:extLst>
        </c:ser>
        <c:ser>
          <c:idx val="4"/>
          <c:order val="4"/>
          <c:tx>
            <c:strRef>
              <c:f>'GC data'!$BH$37</c:f>
              <c:strCache>
                <c:ptCount val="1"/>
                <c:pt idx="0">
                  <c:v>22:05</c:v>
                </c:pt>
              </c:strCache>
            </c:strRef>
          </c:tx>
          <c:invertIfNegative val="0"/>
          <c:cat>
            <c:strRef>
              <c:f>'GC data'!$BI$5:$CI$5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data'!$BI$37:$BX$37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0A-42B9-A469-D57064A43134}"/>
            </c:ext>
          </c:extLst>
        </c:ser>
        <c:ser>
          <c:idx val="5"/>
          <c:order val="5"/>
          <c:tx>
            <c:strRef>
              <c:f>'GC data'!$BH$38</c:f>
              <c:strCache>
                <c:ptCount val="1"/>
                <c:pt idx="0">
                  <c:v>22:06</c:v>
                </c:pt>
              </c:strCache>
            </c:strRef>
          </c:tx>
          <c:invertIfNegative val="0"/>
          <c:cat>
            <c:strRef>
              <c:f>'GC data'!$BI$5:$CI$5</c:f>
              <c:strCache>
                <c:ptCount val="27"/>
                <c:pt idx="0">
                  <c:v>OPLA 0.1</c:v>
                </c:pt>
                <c:pt idx="1">
                  <c:v>OPLA 0.2</c:v>
                </c:pt>
                <c:pt idx="2">
                  <c:v>OPLA 0.3</c:v>
                </c:pt>
                <c:pt idx="3">
                  <c:v>OPLA 2.1</c:v>
                </c:pt>
                <c:pt idx="4">
                  <c:v>OPLA 2.2</c:v>
                </c:pt>
                <c:pt idx="5">
                  <c:v>OPLA 2.3</c:v>
                </c:pt>
                <c:pt idx="6">
                  <c:v>OPLA 8.1</c:v>
                </c:pt>
                <c:pt idx="7">
                  <c:v>OPLA 8.2</c:v>
                </c:pt>
                <c:pt idx="8">
                  <c:v>OPLA 8.3</c:v>
                </c:pt>
                <c:pt idx="9">
                  <c:v>OPLA 0.4</c:v>
                </c:pt>
                <c:pt idx="10">
                  <c:v>OPLA 0.5</c:v>
                </c:pt>
                <c:pt idx="11">
                  <c:v>OPLA 0.6</c:v>
                </c:pt>
                <c:pt idx="12">
                  <c:v>OPLA 0.7</c:v>
                </c:pt>
                <c:pt idx="13">
                  <c:v>OPLA 0.8</c:v>
                </c:pt>
                <c:pt idx="14">
                  <c:v>OPLA 0.9</c:v>
                </c:pt>
                <c:pt idx="15">
                  <c:v>OPLA 2.4</c:v>
                </c:pt>
                <c:pt idx="16">
                  <c:v>OPLA 2.5</c:v>
                </c:pt>
                <c:pt idx="17">
                  <c:v>OPLA 2.6</c:v>
                </c:pt>
                <c:pt idx="18">
                  <c:v>OPLA 2.7</c:v>
                </c:pt>
                <c:pt idx="19">
                  <c:v>OPLA 2.8</c:v>
                </c:pt>
                <c:pt idx="20">
                  <c:v>OPLA 2.9</c:v>
                </c:pt>
                <c:pt idx="21">
                  <c:v>OPLA 8.4</c:v>
                </c:pt>
                <c:pt idx="22">
                  <c:v>OPLA 8.5</c:v>
                </c:pt>
                <c:pt idx="23">
                  <c:v>OPLA 8.6</c:v>
                </c:pt>
                <c:pt idx="24">
                  <c:v>OPLA 8.7</c:v>
                </c:pt>
                <c:pt idx="25">
                  <c:v>OPLA 8.8</c:v>
                </c:pt>
                <c:pt idx="26">
                  <c:v>OPLA 8.9</c:v>
                </c:pt>
              </c:strCache>
            </c:strRef>
          </c:cat>
          <c:val>
            <c:numRef>
              <c:f>'GC data'!$BI$38:$BX$38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0A-42B9-A469-D57064A4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876032"/>
        <c:axId val="461880344"/>
      </c:barChart>
      <c:catAx>
        <c:axId val="46187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(min)</a:t>
                </a:r>
              </a:p>
            </c:rich>
          </c:tx>
          <c:layout>
            <c:manualLayout>
              <c:xMode val="edge"/>
              <c:yMode val="edge"/>
              <c:x val="0.44331210191082993"/>
              <c:y val="0.927204875252662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1880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1880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mol%</a:t>
                </a:r>
              </a:p>
            </c:rich>
          </c:tx>
          <c:layout>
            <c:manualLayout>
              <c:xMode val="edge"/>
              <c:yMode val="edge"/>
              <c:x val="2.0382165605095551E-2"/>
              <c:y val="0.484675335123339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18760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924867459296669"/>
          <c:y val="1.1863682654810088E-2"/>
          <c:w val="0.15320126318871496"/>
          <c:h val="8.744512614156668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13C16:0</a:t>
            </a:r>
            <a:endParaRPr lang="en-US"/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v>Chylos</c:v>
          </c:tx>
          <c:xVal>
            <c:strRef>
              <c:f>'TTRs '!$B$4:$B$11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'!$F$4:$F$11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E-4452-80A8-4D7BC5EC8C76}"/>
            </c:ext>
          </c:extLst>
        </c:ser>
        <c:ser>
          <c:idx val="1"/>
          <c:order val="1"/>
          <c:tx>
            <c:strRef>
              <c:f>'TTRs '!$A$13</c:f>
              <c:strCache>
                <c:ptCount val="1"/>
              </c:strCache>
            </c:strRef>
          </c:tx>
          <c:xVal>
            <c:numRef>
              <c:f>'TTRs '!$B$14:$B$23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'!$F$14:$F$23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6E-4452-80A8-4D7BC5EC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879560"/>
        <c:axId val="461880736"/>
      </c:scatterChart>
      <c:valAx>
        <c:axId val="461879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880736"/>
        <c:crosses val="autoZero"/>
        <c:crossBetween val="midCat"/>
      </c:valAx>
      <c:valAx>
        <c:axId val="4618807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TTR</a:t>
                </a:r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618795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949751346871114"/>
          <c:y val="5.2756652046484368E-3"/>
          <c:w val="0.17630421683670866"/>
          <c:h val="0.182499121209870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conc 13C-16:0</a:t>
            </a:r>
            <a:endParaRPr lang="en-US"/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v>Chylos</c:v>
          </c:tx>
          <c:xVal>
            <c:strRef>
              <c:f>'TTRs '!$B$4:$B$11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'!$N$4:$N$11</c:f>
              <c:numCache>
                <c:formatCode>0.000</c:formatCode>
                <c:ptCount val="8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7-4D8C-9671-F09533312339}"/>
            </c:ext>
          </c:extLst>
        </c:ser>
        <c:ser>
          <c:idx val="1"/>
          <c:order val="1"/>
          <c:tx>
            <c:strRef>
              <c:f>'TTRs '!$A$13</c:f>
              <c:strCache>
                <c:ptCount val="1"/>
              </c:strCache>
            </c:strRef>
          </c:tx>
          <c:xVal>
            <c:numRef>
              <c:f>'TTRs '!$B$14:$B$23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'!$N$14:$N$23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27-4D8C-9671-F09533312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00896"/>
        <c:axId val="464601288"/>
      </c:scatterChart>
      <c:valAx>
        <c:axId val="46460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601288"/>
        <c:crosses val="autoZero"/>
        <c:crossBetween val="midCat"/>
      </c:valAx>
      <c:valAx>
        <c:axId val="4646012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13C</a:t>
                </a:r>
                <a:r>
                  <a:rPr lang="en-US" baseline="0"/>
                  <a:t> 16:0 umol/l)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600450433092274E-2"/>
              <c:y val="0.34452633714602027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64600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07256145510997"/>
          <c:y val="3.127390844100289E-2"/>
          <c:w val="0.17630421683670866"/>
          <c:h val="0.1996283004541687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13C16:1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'!$F$30:$F$37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61-4665-B440-8A1DAC053677}"/>
            </c:ext>
          </c:extLst>
        </c:ser>
        <c:ser>
          <c:idx val="1"/>
          <c:order val="1"/>
          <c:tx>
            <c:strRef>
              <c:f>'TTRs '!$A$43</c:f>
              <c:strCache>
                <c:ptCount val="1"/>
              </c:strCache>
            </c:strRef>
          </c:tx>
          <c:xVal>
            <c:numRef>
              <c:f>'TTRs '!$B$40:$B$49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'!$F$40:$F$49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1-4665-B440-8A1DAC053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02072"/>
        <c:axId val="464602464"/>
      </c:scatterChart>
      <c:valAx>
        <c:axId val="46460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602464"/>
        <c:crosses val="autoZero"/>
        <c:crossBetween val="midCat"/>
      </c:valAx>
      <c:valAx>
        <c:axId val="4646024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TTR</a:t>
                </a:r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646020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809997214035405"/>
          <c:y val="3.127390844100289E-2"/>
          <c:w val="0.24892989633279089"/>
          <c:h val="0.1333131256822985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conc 13C16:1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33834806961979"/>
          <c:y val="6.5799595846979322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'!$N$30:$N$37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5-4C71-8169-0014EFAEFDBE}"/>
            </c:ext>
          </c:extLst>
        </c:ser>
        <c:ser>
          <c:idx val="1"/>
          <c:order val="1"/>
          <c:tx>
            <c:strRef>
              <c:f>'TTRs '!$A$43</c:f>
              <c:strCache>
                <c:ptCount val="1"/>
              </c:strCache>
            </c:strRef>
          </c:tx>
          <c:xVal>
            <c:numRef>
              <c:f>'TTRs '!$B$40:$B$49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'!$N$40:$N$49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85-4C71-8169-0014EFAEF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03248"/>
        <c:axId val="464603640"/>
      </c:scatterChart>
      <c:valAx>
        <c:axId val="46460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603640"/>
        <c:crosses val="autoZero"/>
        <c:crossBetween val="midCat"/>
      </c:valAx>
      <c:valAx>
        <c:axId val="4646036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13C 16:0 umol/l)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646032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567911552955347"/>
          <c:y val="3.127390844100289E-2"/>
          <c:w val="0.35135075294359158"/>
          <c:h val="0.1303632731749239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13C18:2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083233759204223"/>
          <c:y val="6.5799509867896358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'!$F$56:$F$63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D-4A3B-B07D-1A039F4BD966}"/>
            </c:ext>
          </c:extLst>
        </c:ser>
        <c:ser>
          <c:idx val="1"/>
          <c:order val="1"/>
          <c:tx>
            <c:strRef>
              <c:f>'TTRs '!$A$65</c:f>
              <c:strCache>
                <c:ptCount val="1"/>
              </c:strCache>
            </c:strRef>
          </c:tx>
          <c:xVal>
            <c:numRef>
              <c:f>'TTRs '!$B$66:$B$75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'!$F$66:$F$75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BD-4A3B-B07D-1A039F4BD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04424"/>
        <c:axId val="466622152"/>
      </c:scatterChart>
      <c:valAx>
        <c:axId val="464604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6622152"/>
        <c:crosses val="autoZero"/>
        <c:crossBetween val="midCat"/>
      </c:valAx>
      <c:valAx>
        <c:axId val="4666221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TTR</a:t>
                </a:r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646044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809997214035405"/>
          <c:y val="3.127390844100289E-2"/>
          <c:w val="0.11938851789095983"/>
          <c:h val="0.10437468043767256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TTR-TG</a:t>
            </a:r>
            <a:r>
              <a:rPr lang="en-US" baseline="0"/>
              <a:t> conc 13C18:2</a:t>
            </a:r>
          </a:p>
        </c:rich>
      </c:tx>
      <c:layout>
        <c:manualLayout>
          <c:xMode val="edge"/>
          <c:yMode val="edge"/>
          <c:x val="0.20459143968871596"/>
          <c:y val="2.622950819672131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33834806961979"/>
          <c:y val="6.5799595846979322E-2"/>
          <c:w val="0.84387593574149544"/>
          <c:h val="0.88888888888888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'TTRs '!$A$29</c:f>
              <c:strCache>
                <c:ptCount val="1"/>
              </c:strCache>
            </c:strRef>
          </c:tx>
          <c:xVal>
            <c:strRef>
              <c:f>'TTRs '!$B$30:$B$37</c:f>
              <c:strCache>
                <c:ptCount val="8"/>
                <c:pt idx="0">
                  <c:v>Background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xVal>
          <c:yVal>
            <c:numRef>
              <c:f>'TTRs '!$N$56:$N$63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F-4E7A-ADF7-98B85F996CE4}"/>
            </c:ext>
          </c:extLst>
        </c:ser>
        <c:ser>
          <c:idx val="1"/>
          <c:order val="1"/>
          <c:tx>
            <c:strRef>
              <c:f>'TTRs '!$A$43</c:f>
              <c:strCache>
                <c:ptCount val="1"/>
              </c:strCache>
            </c:strRef>
          </c:tx>
          <c:xVal>
            <c:numRef>
              <c:f>'TTRs '!$B$40:$B$49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</c:numCache>
            </c:numRef>
          </c:xVal>
          <c:yVal>
            <c:numRef>
              <c:f>'TTRs '!$N$66:$N$75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DF-4E7A-ADF7-98B85F99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622936"/>
        <c:axId val="466623328"/>
      </c:scatterChart>
      <c:valAx>
        <c:axId val="466622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6623328"/>
        <c:crosses val="autoZero"/>
        <c:crossBetween val="midCat"/>
      </c:valAx>
      <c:valAx>
        <c:axId val="4666233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13C 16:0 umol/l)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7.2502221269033999E-3"/>
              <c:y val="0.43119315003657321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4666229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567911552955347"/>
          <c:y val="3.127390844100289E-2"/>
          <c:w val="0.35135075294359158"/>
          <c:h val="0.1303632731749239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1176337</xdr:colOff>
      <xdr:row>43</xdr:row>
      <xdr:rowOff>73819</xdr:rowOff>
    </xdr:from>
    <xdr:to>
      <xdr:col>82</xdr:col>
      <xdr:colOff>1131093</xdr:colOff>
      <xdr:row>75</xdr:row>
      <xdr:rowOff>178594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247649</xdr:colOff>
      <xdr:row>0</xdr:row>
      <xdr:rowOff>142876</xdr:rowOff>
    </xdr:from>
    <xdr:to>
      <xdr:col>25</xdr:col>
      <xdr:colOff>85724</xdr:colOff>
      <xdr:row>22</xdr:row>
      <xdr:rowOff>38100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0</xdr:row>
      <xdr:rowOff>152400</xdr:rowOff>
    </xdr:from>
    <xdr:to>
      <xdr:col>35</xdr:col>
      <xdr:colOff>352425</xdr:colOff>
      <xdr:row>22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161925</xdr:colOff>
      <xdr:row>24</xdr:row>
      <xdr:rowOff>152400</xdr:rowOff>
    </xdr:from>
    <xdr:to>
      <xdr:col>25</xdr:col>
      <xdr:colOff>85725</xdr:colOff>
      <xdr:row>50</xdr:row>
      <xdr:rowOff>28575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581025</xdr:colOff>
      <xdr:row>25</xdr:row>
      <xdr:rowOff>0</xdr:rowOff>
    </xdr:from>
    <xdr:to>
      <xdr:col>35</xdr:col>
      <xdr:colOff>381000</xdr:colOff>
      <xdr:row>50</xdr:row>
      <xdr:rowOff>123825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53</xdr:row>
      <xdr:rowOff>0</xdr:rowOff>
    </xdr:from>
    <xdr:to>
      <xdr:col>24</xdr:col>
      <xdr:colOff>533400</xdr:colOff>
      <xdr:row>78</xdr:row>
      <xdr:rowOff>28575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53</xdr:row>
      <xdr:rowOff>0</xdr:rowOff>
    </xdr:from>
    <xdr:to>
      <xdr:col>35</xdr:col>
      <xdr:colOff>409575</xdr:colOff>
      <xdr:row>78</xdr:row>
      <xdr:rowOff>114300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79"/>
  <sheetViews>
    <sheetView tabSelected="1" zoomScale="80" zoomScaleNormal="80" workbookViewId="0">
      <pane xSplit="1" topLeftCell="AW1" activePane="topRight" state="frozen"/>
      <selection activeCell="AX60" sqref="AX60:BC60"/>
      <selection pane="topRight" activeCell="AZ41" sqref="AZ41:BE41"/>
    </sheetView>
  </sheetViews>
  <sheetFormatPr defaultColWidth="9.140625" defaultRowHeight="12.75" x14ac:dyDescent="0.2"/>
  <cols>
    <col min="1" max="1" width="11.28515625" style="13" customWidth="1"/>
    <col min="2" max="2" width="24.42578125" style="13" customWidth="1"/>
    <col min="3" max="19" width="24.42578125" style="41" customWidth="1"/>
    <col min="20" max="20" width="24.42578125" style="86" customWidth="1"/>
    <col min="21" max="28" width="24.42578125" style="41" customWidth="1"/>
    <col min="29" max="29" width="12.7109375" style="13" customWidth="1"/>
    <col min="30" max="30" width="12.5703125" style="13" customWidth="1"/>
    <col min="31" max="31" width="8.42578125" style="13" customWidth="1"/>
    <col min="32" max="32" width="9.85546875" style="13" customWidth="1"/>
    <col min="33" max="33" width="7.5703125" style="13" customWidth="1"/>
    <col min="34" max="37" width="7.7109375" style="13" customWidth="1"/>
    <col min="38" max="38" width="9.140625" style="13" customWidth="1"/>
    <col min="39" max="39" width="11.140625" style="13" customWidth="1"/>
    <col min="40" max="60" width="9.140625" style="13" customWidth="1"/>
    <col min="61" max="61" width="19.5703125" style="13" bestFit="1" customWidth="1"/>
    <col min="62" max="62" width="20.5703125" style="13" bestFit="1" customWidth="1"/>
    <col min="63" max="67" width="21.7109375" style="13" bestFit="1" customWidth="1"/>
    <col min="68" max="68" width="23.28515625" style="13" bestFit="1" customWidth="1"/>
    <col min="69" max="69" width="19.5703125" style="13" bestFit="1" customWidth="1"/>
    <col min="70" max="70" width="20.5703125" style="13" bestFit="1" customWidth="1"/>
    <col min="71" max="74" width="21.7109375" style="13" bestFit="1" customWidth="1"/>
    <col min="75" max="75" width="21.7109375" style="37" bestFit="1" customWidth="1"/>
    <col min="76" max="76" width="23.28515625" style="13" bestFit="1" customWidth="1"/>
    <col min="77" max="85" width="23.28515625" style="13" customWidth="1"/>
    <col min="86" max="93" width="9.140625" style="13"/>
    <col min="94" max="94" width="13.7109375" style="13" customWidth="1"/>
    <col min="95" max="16384" width="9.140625" style="13"/>
  </cols>
  <sheetData>
    <row r="1" spans="1:114" x14ac:dyDescent="0.2"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5"/>
      <c r="AE1" s="16"/>
      <c r="AF1" s="17"/>
      <c r="AG1" s="17"/>
      <c r="AH1" s="17"/>
      <c r="AI1" s="17"/>
      <c r="AJ1" s="17"/>
      <c r="AK1" s="17"/>
      <c r="AM1" s="17"/>
    </row>
    <row r="2" spans="1:114" ht="18" x14ac:dyDescent="0.25">
      <c r="C2" s="43" t="s">
        <v>77</v>
      </c>
      <c r="D2" s="83" t="s">
        <v>81</v>
      </c>
      <c r="E2" s="84" t="s">
        <v>42</v>
      </c>
      <c r="F2" s="42"/>
      <c r="AD2" s="71"/>
      <c r="AE2" s="17"/>
      <c r="AF2" s="17"/>
      <c r="AG2" s="17"/>
      <c r="AH2" s="17"/>
      <c r="AI2" s="17"/>
      <c r="AJ2" s="17"/>
      <c r="AK2" s="17"/>
      <c r="AM2" s="17"/>
      <c r="BH2" s="71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9"/>
      <c r="BT2" s="19"/>
    </row>
    <row r="3" spans="1:114" ht="26.25" x14ac:dyDescent="0.25">
      <c r="A3" s="71"/>
      <c r="C3" s="43"/>
      <c r="D3" s="43" t="s">
        <v>74</v>
      </c>
      <c r="E3" s="69">
        <f>50.12/2</f>
        <v>25.06</v>
      </c>
      <c r="F3" s="62"/>
      <c r="AD3" s="72" t="s">
        <v>8</v>
      </c>
      <c r="AE3" s="17"/>
      <c r="AF3" s="17"/>
      <c r="AG3" s="17"/>
      <c r="AH3" s="17"/>
      <c r="AI3" s="17"/>
      <c r="AJ3" s="17"/>
      <c r="AK3" s="17"/>
      <c r="AM3" s="17"/>
      <c r="BH3" s="71" t="s">
        <v>9</v>
      </c>
      <c r="BI3" s="20"/>
      <c r="BJ3" s="18"/>
      <c r="BK3" s="18"/>
      <c r="BL3" s="18"/>
      <c r="BM3" s="18"/>
      <c r="BN3" s="18"/>
      <c r="BO3" s="18"/>
      <c r="BP3" s="18"/>
      <c r="BQ3" s="18"/>
      <c r="BR3" s="18"/>
      <c r="BS3" s="19"/>
      <c r="BT3" s="19"/>
    </row>
    <row r="4" spans="1:114" ht="18" x14ac:dyDescent="0.25">
      <c r="A4" s="69" t="s">
        <v>42</v>
      </c>
      <c r="C4" s="44"/>
      <c r="D4" s="44" t="s">
        <v>75</v>
      </c>
      <c r="E4" s="70">
        <f>49.04/2</f>
        <v>24.52</v>
      </c>
      <c r="F4" s="63"/>
      <c r="AD4" s="13" t="s">
        <v>10</v>
      </c>
      <c r="AE4" s="21">
        <v>0.15</v>
      </c>
      <c r="AF4" s="21">
        <v>0.15</v>
      </c>
      <c r="AG4" s="21">
        <v>0.15</v>
      </c>
      <c r="AH4" s="21">
        <v>0.15</v>
      </c>
      <c r="AI4" s="21">
        <v>0.15</v>
      </c>
      <c r="AJ4" s="21">
        <v>0.15</v>
      </c>
      <c r="AK4" s="21">
        <v>0.15</v>
      </c>
      <c r="AL4" s="21">
        <v>0.15</v>
      </c>
      <c r="AM4" s="21">
        <v>0.15</v>
      </c>
      <c r="AN4" s="21">
        <v>0.15</v>
      </c>
      <c r="AO4" s="21">
        <v>0.15</v>
      </c>
      <c r="AP4" s="21">
        <v>0.15</v>
      </c>
      <c r="AQ4" s="21">
        <v>0.15</v>
      </c>
      <c r="AR4" s="21">
        <v>0.15</v>
      </c>
      <c r="AS4" s="21">
        <v>0.15</v>
      </c>
      <c r="AT4" s="21">
        <v>0.15</v>
      </c>
      <c r="AU4" s="21">
        <v>0.15</v>
      </c>
      <c r="AV4" s="21">
        <v>0.15</v>
      </c>
      <c r="AW4" s="21">
        <v>0.15</v>
      </c>
      <c r="AX4" s="21">
        <v>0.15</v>
      </c>
      <c r="AY4" s="21">
        <v>0.15</v>
      </c>
      <c r="AZ4" s="21">
        <v>0.15</v>
      </c>
      <c r="BA4" s="21">
        <v>0.15</v>
      </c>
      <c r="BB4" s="21">
        <v>0.15</v>
      </c>
      <c r="BC4" s="21">
        <v>0.15</v>
      </c>
      <c r="BD4" s="21">
        <v>0.15</v>
      </c>
      <c r="BE4" s="21">
        <v>0.15</v>
      </c>
      <c r="BF4" s="21"/>
      <c r="BG4" s="21"/>
      <c r="BH4" s="22" t="s">
        <v>11</v>
      </c>
      <c r="BI4" s="20"/>
      <c r="BJ4" s="20"/>
      <c r="BK4" s="20"/>
      <c r="BL4" s="20"/>
      <c r="BM4" s="20"/>
      <c r="BN4" s="20"/>
      <c r="BO4" s="20"/>
      <c r="BP4" s="20"/>
      <c r="BQ4" s="20"/>
      <c r="BR4" s="18"/>
      <c r="BS4" s="19"/>
      <c r="BT4" s="19"/>
    </row>
    <row r="5" spans="1:114" x14ac:dyDescent="0.2">
      <c r="A5" s="62" t="s">
        <v>76</v>
      </c>
      <c r="B5" s="23" t="s">
        <v>82</v>
      </c>
      <c r="C5" s="23" t="s">
        <v>83</v>
      </c>
      <c r="D5" s="23" t="s">
        <v>84</v>
      </c>
      <c r="E5" s="23" t="s">
        <v>85</v>
      </c>
      <c r="F5" s="23" t="s">
        <v>86</v>
      </c>
      <c r="G5" s="23" t="s">
        <v>87</v>
      </c>
      <c r="H5" s="23" t="s">
        <v>88</v>
      </c>
      <c r="I5" s="23" t="s">
        <v>89</v>
      </c>
      <c r="J5" s="23" t="s">
        <v>90</v>
      </c>
      <c r="K5" s="23" t="s">
        <v>91</v>
      </c>
      <c r="L5" s="23" t="s">
        <v>92</v>
      </c>
      <c r="M5" s="23" t="s">
        <v>93</v>
      </c>
      <c r="N5" s="23" t="s">
        <v>94</v>
      </c>
      <c r="O5" s="23" t="s">
        <v>95</v>
      </c>
      <c r="P5" s="23" t="s">
        <v>96</v>
      </c>
      <c r="Q5" s="23" t="s">
        <v>97</v>
      </c>
      <c r="R5" s="23" t="s">
        <v>98</v>
      </c>
      <c r="S5" s="23" t="s">
        <v>99</v>
      </c>
      <c r="T5" s="23" t="s">
        <v>100</v>
      </c>
      <c r="U5" s="23" t="s">
        <v>101</v>
      </c>
      <c r="V5" s="23" t="s">
        <v>102</v>
      </c>
      <c r="W5" s="23" t="s">
        <v>103</v>
      </c>
      <c r="X5" s="23" t="s">
        <v>104</v>
      </c>
      <c r="Y5" s="23" t="s">
        <v>105</v>
      </c>
      <c r="Z5" s="23" t="s">
        <v>106</v>
      </c>
      <c r="AA5" s="23" t="s">
        <v>107</v>
      </c>
      <c r="AB5" s="23" t="s">
        <v>108</v>
      </c>
      <c r="AD5" s="13" t="s">
        <v>12</v>
      </c>
      <c r="AE5" s="23" t="str">
        <f>B5</f>
        <v>OPLA 0.1</v>
      </c>
      <c r="AF5" s="23" t="str">
        <f>C5</f>
        <v>OPLA 0.2</v>
      </c>
      <c r="AG5" s="23" t="str">
        <f>D5</f>
        <v>OPLA 0.3</v>
      </c>
      <c r="AH5" s="23" t="str">
        <f>E5</f>
        <v>OPLA 2.1</v>
      </c>
      <c r="AI5" s="23" t="str">
        <f>F5</f>
        <v>OPLA 2.2</v>
      </c>
      <c r="AJ5" s="23" t="str">
        <f>G5</f>
        <v>OPLA 2.3</v>
      </c>
      <c r="AK5" s="23" t="str">
        <f>H5</f>
        <v>OPLA 8.1</v>
      </c>
      <c r="AL5" s="23" t="str">
        <f>I5</f>
        <v>OPLA 8.2</v>
      </c>
      <c r="AM5" s="23" t="str">
        <f>J5</f>
        <v>OPLA 8.3</v>
      </c>
      <c r="AN5" s="23" t="str">
        <f>K5</f>
        <v>OPLA 0.4</v>
      </c>
      <c r="AO5" s="23" t="str">
        <f>L5</f>
        <v>OPLA 0.5</v>
      </c>
      <c r="AP5" s="23" t="str">
        <f>M5</f>
        <v>OPLA 0.6</v>
      </c>
      <c r="AQ5" s="23" t="str">
        <f>N5</f>
        <v>OPLA 0.7</v>
      </c>
      <c r="AR5" s="23" t="str">
        <f>O5</f>
        <v>OPLA 0.8</v>
      </c>
      <c r="AS5" s="23" t="str">
        <f>P5</f>
        <v>OPLA 0.9</v>
      </c>
      <c r="AT5" s="23" t="str">
        <f>Q5</f>
        <v>OPLA 2.4</v>
      </c>
      <c r="AU5" s="23" t="str">
        <f t="shared" ref="AU5:BE5" si="0">R5</f>
        <v>OPLA 2.5</v>
      </c>
      <c r="AV5" s="23" t="str">
        <f t="shared" si="0"/>
        <v>OPLA 2.6</v>
      </c>
      <c r="AW5" s="23" t="str">
        <f t="shared" si="0"/>
        <v>OPLA 2.7</v>
      </c>
      <c r="AX5" s="23" t="str">
        <f t="shared" si="0"/>
        <v>OPLA 2.8</v>
      </c>
      <c r="AY5" s="23" t="str">
        <f t="shared" si="0"/>
        <v>OPLA 2.9</v>
      </c>
      <c r="AZ5" s="23" t="str">
        <f t="shared" si="0"/>
        <v>OPLA 8.4</v>
      </c>
      <c r="BA5" s="23" t="str">
        <f t="shared" si="0"/>
        <v>OPLA 8.5</v>
      </c>
      <c r="BB5" s="23" t="str">
        <f t="shared" si="0"/>
        <v>OPLA 8.6</v>
      </c>
      <c r="BC5" s="23" t="str">
        <f t="shared" si="0"/>
        <v>OPLA 8.7</v>
      </c>
      <c r="BD5" s="23" t="str">
        <f t="shared" si="0"/>
        <v>OPLA 8.8</v>
      </c>
      <c r="BE5" s="23" t="str">
        <f t="shared" si="0"/>
        <v>OPLA 8.9</v>
      </c>
      <c r="BF5" s="23"/>
      <c r="BG5" s="24"/>
      <c r="BH5" s="24"/>
      <c r="BI5" s="23" t="str">
        <f>AE5</f>
        <v>OPLA 0.1</v>
      </c>
      <c r="BJ5" s="23" t="str">
        <f>AF5</f>
        <v>OPLA 0.2</v>
      </c>
      <c r="BK5" s="23" t="str">
        <f>AG5</f>
        <v>OPLA 0.3</v>
      </c>
      <c r="BL5" s="23" t="str">
        <f>AH5</f>
        <v>OPLA 2.1</v>
      </c>
      <c r="BM5" s="23" t="str">
        <f>AI5</f>
        <v>OPLA 2.2</v>
      </c>
      <c r="BN5" s="23" t="str">
        <f>AJ5</f>
        <v>OPLA 2.3</v>
      </c>
      <c r="BO5" s="23" t="str">
        <f>AK5</f>
        <v>OPLA 8.1</v>
      </c>
      <c r="BP5" s="23" t="str">
        <f>AL5</f>
        <v>OPLA 8.2</v>
      </c>
      <c r="BQ5" s="23" t="str">
        <f>AM5</f>
        <v>OPLA 8.3</v>
      </c>
      <c r="BR5" s="23" t="str">
        <f>AN5</f>
        <v>OPLA 0.4</v>
      </c>
      <c r="BS5" s="23" t="str">
        <f>AO5</f>
        <v>OPLA 0.5</v>
      </c>
      <c r="BT5" s="23" t="str">
        <f>AP5</f>
        <v>OPLA 0.6</v>
      </c>
      <c r="BU5" s="23" t="str">
        <f>AQ5</f>
        <v>OPLA 0.7</v>
      </c>
      <c r="BV5" s="23" t="str">
        <f>AR5</f>
        <v>OPLA 0.8</v>
      </c>
      <c r="BW5" s="23" t="str">
        <f>AS5</f>
        <v>OPLA 0.9</v>
      </c>
      <c r="BX5" s="23" t="str">
        <f>AT5</f>
        <v>OPLA 2.4</v>
      </c>
      <c r="BY5" s="23" t="str">
        <f t="shared" ref="BY5:CG5" si="1">AU5</f>
        <v>OPLA 2.5</v>
      </c>
      <c r="BZ5" s="23" t="str">
        <f t="shared" si="1"/>
        <v>OPLA 2.6</v>
      </c>
      <c r="CA5" s="23" t="str">
        <f t="shared" si="1"/>
        <v>OPLA 2.7</v>
      </c>
      <c r="CB5" s="23" t="str">
        <f t="shared" si="1"/>
        <v>OPLA 2.8</v>
      </c>
      <c r="CC5" s="23" t="str">
        <f t="shared" si="1"/>
        <v>OPLA 2.9</v>
      </c>
      <c r="CD5" s="23" t="str">
        <f t="shared" si="1"/>
        <v>OPLA 8.4</v>
      </c>
      <c r="CE5" s="23" t="str">
        <f t="shared" si="1"/>
        <v>OPLA 8.5</v>
      </c>
      <c r="CF5" s="23" t="str">
        <f t="shared" si="1"/>
        <v>OPLA 8.6</v>
      </c>
      <c r="CG5" s="23" t="str">
        <f t="shared" si="1"/>
        <v>OPLA 8.7</v>
      </c>
      <c r="CH5" s="23" t="str">
        <f>BD5</f>
        <v>OPLA 8.8</v>
      </c>
      <c r="CI5" s="23" t="str">
        <f t="shared" ref="CI5" si="2">BE5</f>
        <v>OPLA 8.9</v>
      </c>
      <c r="CP5" s="51"/>
      <c r="CQ5" s="23" t="str">
        <f t="shared" ref="CQ5:DF5" si="3">BI5</f>
        <v>OPLA 0.1</v>
      </c>
      <c r="CR5" s="23" t="str">
        <f t="shared" si="3"/>
        <v>OPLA 0.2</v>
      </c>
      <c r="CS5" s="23" t="str">
        <f t="shared" si="3"/>
        <v>OPLA 0.3</v>
      </c>
      <c r="CT5" s="23" t="str">
        <f t="shared" si="3"/>
        <v>OPLA 2.1</v>
      </c>
      <c r="CU5" s="23" t="str">
        <f t="shared" si="3"/>
        <v>OPLA 2.2</v>
      </c>
      <c r="CV5" s="23" t="str">
        <f t="shared" si="3"/>
        <v>OPLA 2.3</v>
      </c>
      <c r="CW5" s="23" t="str">
        <f t="shared" si="3"/>
        <v>OPLA 8.1</v>
      </c>
      <c r="CX5" s="23" t="str">
        <f t="shared" si="3"/>
        <v>OPLA 8.2</v>
      </c>
      <c r="CY5" s="23" t="str">
        <f t="shared" si="3"/>
        <v>OPLA 8.3</v>
      </c>
      <c r="CZ5" s="23" t="str">
        <f t="shared" si="3"/>
        <v>OPLA 0.4</v>
      </c>
      <c r="DA5" s="23" t="str">
        <f t="shared" si="3"/>
        <v>OPLA 0.5</v>
      </c>
      <c r="DB5" s="23" t="str">
        <f t="shared" si="3"/>
        <v>OPLA 0.6</v>
      </c>
      <c r="DC5" s="23" t="str">
        <f t="shared" si="3"/>
        <v>OPLA 0.7</v>
      </c>
      <c r="DD5" s="23" t="str">
        <f t="shared" si="3"/>
        <v>OPLA 0.8</v>
      </c>
      <c r="DE5" s="23" t="str">
        <f t="shared" si="3"/>
        <v>OPLA 0.9</v>
      </c>
      <c r="DF5" s="23" t="str">
        <f t="shared" si="3"/>
        <v>OPLA 2.4</v>
      </c>
      <c r="DG5" s="23" t="e">
        <f>#REF!</f>
        <v>#REF!</v>
      </c>
      <c r="DH5" s="23" t="e">
        <f>#REF!</f>
        <v>#REF!</v>
      </c>
      <c r="DI5" s="23" t="e">
        <f>#REF!</f>
        <v>#REF!</v>
      </c>
      <c r="DJ5" s="23" t="e">
        <f>#REF!</f>
        <v>#REF!</v>
      </c>
    </row>
    <row r="6" spans="1:114" ht="15" x14ac:dyDescent="0.25">
      <c r="A6" s="81" t="s">
        <v>55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5"/>
      <c r="AD6" s="28">
        <v>0.33333333333333331</v>
      </c>
      <c r="AE6" s="13">
        <f>((B$6/B$13)*$E$3)/144.4*(1/AE$4*1000)/3</f>
        <v>0</v>
      </c>
      <c r="AF6" s="13">
        <f>((C$6/C$13)*$E$3)/144.4*(1/AF$4*1000)/3</f>
        <v>0</v>
      </c>
      <c r="AG6" s="13">
        <f>((D$6/D$13)*$E$3)/144.4*(1/AG$4*1000)/3</f>
        <v>0</v>
      </c>
      <c r="AH6" s="13">
        <f>((E$6/E$13)*$E$3)/144.4*(1/AH$4*1000)/3</f>
        <v>0</v>
      </c>
      <c r="AI6" s="13">
        <f>((F$6/F$13)*$E$3)/144.4*(1/AI$4*1000)/3</f>
        <v>0</v>
      </c>
      <c r="AJ6" s="13">
        <f>((G$6/G$13)*$E$3)/144.4*(1/AJ$4*1000)/3</f>
        <v>0</v>
      </c>
      <c r="AK6" s="13">
        <f>((H$6/H$13)*$E$3)/144.4*(1/AK$4*1000)/3</f>
        <v>0</v>
      </c>
      <c r="AL6" s="13">
        <f>((I$6/I$13)*$E$3)/144.4*(1/AL$4*1000)/3</f>
        <v>0</v>
      </c>
      <c r="AM6" s="13">
        <f>((J$6/J$13)*$E$3)/144.4*(1/AM$4*1000)/3</f>
        <v>0</v>
      </c>
      <c r="AN6" s="13">
        <f>((K$6/K$13)*$E$3)/144.4*(1/AN$4*1000)/3</f>
        <v>0</v>
      </c>
      <c r="AO6" s="13">
        <f>((L$6/L$13)*$E$3)/144.4*(1/AO$4*1000)/3</f>
        <v>0</v>
      </c>
      <c r="AP6" s="13">
        <f>((M$6/M$13)*$E$3)/144.4*(1/AP$4*1000)/3</f>
        <v>0</v>
      </c>
      <c r="AQ6" s="13">
        <f>((N$6/N$13)*$E$3)/144.4*(1/AQ$4*1000)/3</f>
        <v>0</v>
      </c>
      <c r="AR6" s="13">
        <f>((O$6/O$13)*$E$3)/144.4*(1/AR$4*1000)/3</f>
        <v>0</v>
      </c>
      <c r="AS6" s="13">
        <f>((P$6/P$13)*$E$3)/144.4*(1/AS$4*1000)/3</f>
        <v>0</v>
      </c>
      <c r="AT6" s="13">
        <f>((Q$6/Q$13)*$E$3)/144.4*(1/AT$4*1000)/3</f>
        <v>0</v>
      </c>
      <c r="AU6" s="13">
        <f t="shared" ref="AU6:BE6" si="4">((R$6/R$13)*$E$3)/144.4*(1/AU$4*1000)/3</f>
        <v>0</v>
      </c>
      <c r="AV6" s="13">
        <f t="shared" si="4"/>
        <v>0</v>
      </c>
      <c r="AW6" s="13">
        <f t="shared" si="4"/>
        <v>0</v>
      </c>
      <c r="AX6" s="13">
        <f t="shared" si="4"/>
        <v>0</v>
      </c>
      <c r="AY6" s="13">
        <f t="shared" si="4"/>
        <v>0</v>
      </c>
      <c r="AZ6" s="13">
        <f t="shared" si="4"/>
        <v>0</v>
      </c>
      <c r="BA6" s="13">
        <f t="shared" si="4"/>
        <v>0</v>
      </c>
      <c r="BB6" s="13">
        <f t="shared" si="4"/>
        <v>0</v>
      </c>
      <c r="BC6" s="13">
        <f t="shared" si="4"/>
        <v>0</v>
      </c>
      <c r="BD6" s="13">
        <f t="shared" si="4"/>
        <v>0</v>
      </c>
      <c r="BE6" s="13">
        <f t="shared" si="4"/>
        <v>0</v>
      </c>
      <c r="BH6" s="28">
        <v>0.33333333333333331</v>
      </c>
      <c r="BI6" s="30">
        <f>AE6*100/AE$39</f>
        <v>0</v>
      </c>
      <c r="BJ6" s="30">
        <f>AF6*100/AF$39</f>
        <v>0</v>
      </c>
      <c r="BK6" s="30">
        <f>AG6*100/AG$39</f>
        <v>0</v>
      </c>
      <c r="BL6" s="30">
        <f>AH6*100/AH$39</f>
        <v>0</v>
      </c>
      <c r="BM6" s="30">
        <f>AI6*100/AI$39</f>
        <v>0</v>
      </c>
      <c r="BN6" s="30">
        <f>AJ6*100/AJ$39</f>
        <v>0</v>
      </c>
      <c r="BO6" s="30">
        <f>AK6*100/AK$39</f>
        <v>0</v>
      </c>
      <c r="BP6" s="30">
        <f>AL6*100/AL$39</f>
        <v>0</v>
      </c>
      <c r="BQ6" s="30">
        <f>AM6*100/AM$39</f>
        <v>0</v>
      </c>
      <c r="BR6" s="30">
        <f>AN6*100/AN$39</f>
        <v>0</v>
      </c>
      <c r="BS6" s="30">
        <f>AO6*100/AO$39</f>
        <v>0</v>
      </c>
      <c r="BT6" s="30">
        <f>AP6*100/AP$39</f>
        <v>0</v>
      </c>
      <c r="BU6" s="30">
        <f>AQ6*100/AQ$39</f>
        <v>0</v>
      </c>
      <c r="BV6" s="30">
        <f>AR6*100/AR$39</f>
        <v>0</v>
      </c>
      <c r="BW6" s="30">
        <f>AS6*100/AS$39</f>
        <v>0</v>
      </c>
      <c r="BX6" s="30">
        <f>AT6*100/AT$39</f>
        <v>0</v>
      </c>
      <c r="BY6" s="30">
        <f t="shared" ref="BY6:CG9" si="5">AU6*100/AU$39</f>
        <v>0</v>
      </c>
      <c r="BZ6" s="30">
        <f t="shared" si="5"/>
        <v>0</v>
      </c>
      <c r="CA6" s="30">
        <f t="shared" si="5"/>
        <v>0</v>
      </c>
      <c r="CB6" s="30">
        <f t="shared" si="5"/>
        <v>0</v>
      </c>
      <c r="CC6" s="30">
        <f t="shared" si="5"/>
        <v>0</v>
      </c>
      <c r="CD6" s="30">
        <f t="shared" si="5"/>
        <v>0</v>
      </c>
      <c r="CE6" s="30">
        <f t="shared" si="5"/>
        <v>0</v>
      </c>
      <c r="CF6" s="30">
        <f t="shared" si="5"/>
        <v>0</v>
      </c>
      <c r="CG6" s="30">
        <f t="shared" si="5"/>
        <v>0</v>
      </c>
      <c r="CH6" s="30">
        <f>BD6*100/BD$39</f>
        <v>0</v>
      </c>
      <c r="CI6" s="30">
        <f t="shared" ref="CI6:CI9" si="6">BE6*100/BE$39</f>
        <v>0</v>
      </c>
      <c r="CP6" s="54" t="s">
        <v>80</v>
      </c>
      <c r="CQ6" s="54">
        <f>BI23/BI15</f>
        <v>0.17727021509408372</v>
      </c>
      <c r="CR6" s="54">
        <f t="shared" ref="CR6:DF6" si="7">BJ23/BJ15</f>
        <v>0.11213845707457869</v>
      </c>
      <c r="CS6" s="54">
        <f t="shared" si="7"/>
        <v>0.1176858307324239</v>
      </c>
      <c r="CT6" s="54">
        <f t="shared" si="7"/>
        <v>0.42717238539606639</v>
      </c>
      <c r="CU6" s="54">
        <f t="shared" si="7"/>
        <v>0.43524639290712247</v>
      </c>
      <c r="CV6" s="54">
        <f t="shared" si="7"/>
        <v>0.43314798991953457</v>
      </c>
      <c r="CW6" s="54">
        <f t="shared" si="7"/>
        <v>0.4376632718857984</v>
      </c>
      <c r="CX6" s="54">
        <f t="shared" si="7"/>
        <v>0.44525433790224189</v>
      </c>
      <c r="CY6" s="54">
        <f t="shared" si="7"/>
        <v>0.45274313180654469</v>
      </c>
      <c r="CZ6" s="54">
        <f t="shared" si="7"/>
        <v>0</v>
      </c>
      <c r="DA6" s="54">
        <f t="shared" si="7"/>
        <v>0</v>
      </c>
      <c r="DB6" s="54">
        <f t="shared" si="7"/>
        <v>0</v>
      </c>
      <c r="DC6" s="54" t="e">
        <f t="shared" si="7"/>
        <v>#DIV/0!</v>
      </c>
      <c r="DD6" s="54">
        <f t="shared" si="7"/>
        <v>0</v>
      </c>
      <c r="DE6" s="54">
        <f t="shared" si="7"/>
        <v>0</v>
      </c>
      <c r="DF6" s="54">
        <f t="shared" si="7"/>
        <v>0.2665885771352261</v>
      </c>
      <c r="DG6" s="54" t="e">
        <f>#REF!/#REF!</f>
        <v>#REF!</v>
      </c>
      <c r="DH6" s="54" t="e">
        <f>#REF!/#REF!</f>
        <v>#REF!</v>
      </c>
      <c r="DI6" s="54" t="e">
        <f>#REF!/#REF!</f>
        <v>#REF!</v>
      </c>
      <c r="DJ6" s="54" t="e">
        <f>#REF!/#REF!</f>
        <v>#REF!</v>
      </c>
    </row>
    <row r="7" spans="1:114" ht="15" x14ac:dyDescent="0.25">
      <c r="A7" s="81" t="s">
        <v>45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5"/>
      <c r="AD7" s="28">
        <v>0.41666666666666669</v>
      </c>
      <c r="AE7" s="13">
        <f>((B$7/B$13)*$E$3)/172.4*(1/AE$4*1000)/3</f>
        <v>0</v>
      </c>
      <c r="AF7" s="13">
        <f>((C$7/C$13)*$E$3)/172.4*(1/AF$4*1000)/3</f>
        <v>0</v>
      </c>
      <c r="AG7" s="13">
        <f>((D$7/D$13)*$E$3)/172.4*(1/AG$4*1000)/3</f>
        <v>0</v>
      </c>
      <c r="AH7" s="13">
        <f>((E$7/E$13)*$E$3)/172.4*(1/AH$4*1000)/3</f>
        <v>0</v>
      </c>
      <c r="AI7" s="13">
        <f>((F$7/F$13)*$E$3)/172.4*(1/AI$4*1000)/3</f>
        <v>0</v>
      </c>
      <c r="AJ7" s="13">
        <f>((G$7/G$13)*$E$3)/172.4*(1/AJ$4*1000)/3</f>
        <v>0</v>
      </c>
      <c r="AK7" s="13">
        <f>((H$7/H$13)*$E$3)/172.4*(1/AK$4*1000)/3</f>
        <v>0</v>
      </c>
      <c r="AL7" s="13">
        <f>((I$7/I$13)*$E$3)/172.4*(1/AL$4*1000)/3</f>
        <v>0</v>
      </c>
      <c r="AM7" s="13">
        <f>((J$7/J$13)*$E$3)/172.4*(1/AM$4*1000)/3</f>
        <v>0</v>
      </c>
      <c r="AN7" s="13">
        <f>((K$7/K$13)*$E$3)/172.4*(1/AN$4*1000)/3</f>
        <v>0</v>
      </c>
      <c r="AO7" s="13">
        <f>((L$7/L$13)*$E$3)/172.4*(1/AO$4*1000)/3</f>
        <v>0</v>
      </c>
      <c r="AP7" s="13">
        <f>((M$7/M$13)*$E$3)/172.4*(1/AP$4*1000)/3</f>
        <v>0</v>
      </c>
      <c r="AQ7" s="13">
        <f>((N$7/N$13)*$E$3)/172.4*(1/AQ$4*1000)/3</f>
        <v>0</v>
      </c>
      <c r="AR7" s="13">
        <f>((O$7/O$13)*$E$3)/172.4*(1/AR$4*1000)/3</f>
        <v>0</v>
      </c>
      <c r="AS7" s="13">
        <f>((P$7/P$13)*$E$3)/172.4*(1/AS$4*1000)/3</f>
        <v>0</v>
      </c>
      <c r="AT7" s="13">
        <f>((Q$7/Q$13)*$E$3)/172.4*(1/AT$4*1000)/3</f>
        <v>0</v>
      </c>
      <c r="AU7" s="13">
        <f t="shared" ref="AU7:BE7" si="8">((R$7/R$13)*$E$3)/172.4*(1/AU$4*1000)/3</f>
        <v>0</v>
      </c>
      <c r="AV7" s="13">
        <f t="shared" si="8"/>
        <v>0</v>
      </c>
      <c r="AW7" s="13">
        <f t="shared" si="8"/>
        <v>0</v>
      </c>
      <c r="AX7" s="13">
        <f t="shared" si="8"/>
        <v>0</v>
      </c>
      <c r="AY7" s="13">
        <f t="shared" si="8"/>
        <v>0</v>
      </c>
      <c r="AZ7" s="13">
        <f t="shared" si="8"/>
        <v>0</v>
      </c>
      <c r="BA7" s="13">
        <f t="shared" si="8"/>
        <v>0</v>
      </c>
      <c r="BB7" s="13">
        <f t="shared" si="8"/>
        <v>0</v>
      </c>
      <c r="BC7" s="13">
        <f t="shared" si="8"/>
        <v>0</v>
      </c>
      <c r="BD7" s="13">
        <f t="shared" si="8"/>
        <v>0</v>
      </c>
      <c r="BE7" s="13">
        <f t="shared" si="8"/>
        <v>0</v>
      </c>
      <c r="BH7" s="28">
        <v>0.41666666666666669</v>
      </c>
      <c r="BI7" s="30">
        <f>AE7*100/AE$39</f>
        <v>0</v>
      </c>
      <c r="BJ7" s="30">
        <f>AF7*100/AF$39</f>
        <v>0</v>
      </c>
      <c r="BK7" s="30">
        <f>AG7*100/AG$39</f>
        <v>0</v>
      </c>
      <c r="BL7" s="30">
        <f>AH7*100/AH$39</f>
        <v>0</v>
      </c>
      <c r="BM7" s="30">
        <f>AI7*100/AI$39</f>
        <v>0</v>
      </c>
      <c r="BN7" s="30">
        <f>AJ7*100/AJ$39</f>
        <v>0</v>
      </c>
      <c r="BO7" s="30">
        <f>AK7*100/AK$39</f>
        <v>0</v>
      </c>
      <c r="BP7" s="30">
        <f>AL7*100/AL$39</f>
        <v>0</v>
      </c>
      <c r="BQ7" s="30">
        <f>AM7*100/AM$39</f>
        <v>0</v>
      </c>
      <c r="BR7" s="30">
        <f>AN7*100/AN$39</f>
        <v>0</v>
      </c>
      <c r="BS7" s="30">
        <f>AO7*100/AO$39</f>
        <v>0</v>
      </c>
      <c r="BT7" s="30">
        <f>AP7*100/AP$39</f>
        <v>0</v>
      </c>
      <c r="BU7" s="30">
        <f>AQ7*100/AQ$39</f>
        <v>0</v>
      </c>
      <c r="BV7" s="30">
        <f>AR7*100/AR$39</f>
        <v>0</v>
      </c>
      <c r="BW7" s="30">
        <f>AS7*100/AS$39</f>
        <v>0</v>
      </c>
      <c r="BX7" s="30">
        <f>AT7*100/AT$39</f>
        <v>0</v>
      </c>
      <c r="BY7" s="30">
        <f t="shared" si="5"/>
        <v>0</v>
      </c>
      <c r="BZ7" s="30">
        <f t="shared" si="5"/>
        <v>0</v>
      </c>
      <c r="CA7" s="30">
        <f t="shared" si="5"/>
        <v>0</v>
      </c>
      <c r="CB7" s="30">
        <f t="shared" si="5"/>
        <v>0</v>
      </c>
      <c r="CC7" s="30">
        <f t="shared" si="5"/>
        <v>0</v>
      </c>
      <c r="CD7" s="30">
        <f t="shared" si="5"/>
        <v>0</v>
      </c>
      <c r="CE7" s="30">
        <f t="shared" si="5"/>
        <v>0</v>
      </c>
      <c r="CF7" s="30">
        <f t="shared" si="5"/>
        <v>0</v>
      </c>
      <c r="CG7" s="30">
        <f t="shared" si="5"/>
        <v>0</v>
      </c>
      <c r="CH7" s="30">
        <f>BD7*100/BD$39</f>
        <v>0</v>
      </c>
      <c r="CI7" s="30">
        <f t="shared" si="6"/>
        <v>0</v>
      </c>
      <c r="CP7" s="52" t="s">
        <v>33</v>
      </c>
      <c r="CQ7" s="53">
        <f t="shared" ref="CQ7:DF7" si="9">BI17/BI15</f>
        <v>0.57526655958296657</v>
      </c>
      <c r="CR7" s="53">
        <f t="shared" si="9"/>
        <v>0.62481692016560719</v>
      </c>
      <c r="CS7" s="53">
        <f t="shared" si="9"/>
        <v>0.57281123910272869</v>
      </c>
      <c r="CT7" s="53">
        <f t="shared" si="9"/>
        <v>0.32174371384751049</v>
      </c>
      <c r="CU7" s="53">
        <f t="shared" si="9"/>
        <v>0.31769026573080145</v>
      </c>
      <c r="CV7" s="53">
        <f t="shared" si="9"/>
        <v>0.29704266285865233</v>
      </c>
      <c r="CW7" s="53">
        <f t="shared" si="9"/>
        <v>0.14790979997350989</v>
      </c>
      <c r="CX7" s="53">
        <f t="shared" si="9"/>
        <v>0.14579583258763962</v>
      </c>
      <c r="CY7" s="53">
        <f t="shared" si="9"/>
        <v>0.13814661980651075</v>
      </c>
      <c r="CZ7" s="53">
        <f t="shared" si="9"/>
        <v>0</v>
      </c>
      <c r="DA7" s="53">
        <f t="shared" si="9"/>
        <v>0.20657543968170572</v>
      </c>
      <c r="DB7" s="53">
        <f t="shared" si="9"/>
        <v>0.49068071069412006</v>
      </c>
      <c r="DC7" s="53" t="e">
        <f t="shared" si="9"/>
        <v>#DIV/0!</v>
      </c>
      <c r="DD7" s="53">
        <f t="shared" si="9"/>
        <v>0</v>
      </c>
      <c r="DE7" s="53">
        <f t="shared" si="9"/>
        <v>0</v>
      </c>
      <c r="DF7" s="53">
        <f t="shared" si="9"/>
        <v>0</v>
      </c>
      <c r="DG7" s="53" t="e">
        <f>#REF!/#REF!</f>
        <v>#REF!</v>
      </c>
      <c r="DH7" s="53" t="e">
        <f>#REF!/#REF!</f>
        <v>#REF!</v>
      </c>
      <c r="DI7" s="53" t="e">
        <f>#REF!/#REF!</f>
        <v>#REF!</v>
      </c>
      <c r="DJ7" s="53" t="e">
        <f>#REF!/#REF!</f>
        <v>#REF!</v>
      </c>
    </row>
    <row r="8" spans="1:114" ht="15" x14ac:dyDescent="0.25">
      <c r="A8" s="81" t="s">
        <v>46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5"/>
      <c r="AD8" s="28">
        <v>0.45833333333333331</v>
      </c>
      <c r="AE8" s="13">
        <f>((B$8/B$13)*$E$3)/172.4*(1/AE$4*1000)/3</f>
        <v>0</v>
      </c>
      <c r="AF8" s="13">
        <f>((C$8/C$13)*$E$3)/172.4*(1/AF$4*1000)/3</f>
        <v>0</v>
      </c>
      <c r="AG8" s="13">
        <f>((D$8/D$13)*$E$3)/172.4*(1/AG$4*1000)/3</f>
        <v>0</v>
      </c>
      <c r="AH8" s="13">
        <f>((E$8/E$13)*$E$3)/172.4*(1/AH$4*1000)/3</f>
        <v>0</v>
      </c>
      <c r="AI8" s="13">
        <f>((F$8/F$13)*$E$3)/172.4*(1/AI$4*1000)/3</f>
        <v>0</v>
      </c>
      <c r="AJ8" s="13">
        <f>((G$8/G$13)*$E$3)/172.4*(1/AJ$4*1000)/3</f>
        <v>0</v>
      </c>
      <c r="AK8" s="13">
        <f>((H$8/H$13)*$E$3)/172.4*(1/AK$4*1000)/3</f>
        <v>0</v>
      </c>
      <c r="AL8" s="13">
        <f>((I$8/I$13)*$E$3)/172.4*(1/AL$4*1000)/3</f>
        <v>0</v>
      </c>
      <c r="AM8" s="13">
        <f>((J$8/J$13)*$E$3)/172.4*(1/AM$4*1000)/3</f>
        <v>0</v>
      </c>
      <c r="AN8" s="13">
        <f>((K$8/K$13)*$E$3)/172.4*(1/AN$4*1000)/3</f>
        <v>0</v>
      </c>
      <c r="AO8" s="13">
        <f>((L$8/L$13)*$E$3)/172.4*(1/AO$4*1000)/3</f>
        <v>0</v>
      </c>
      <c r="AP8" s="13">
        <f>((M$8/M$13)*$E$3)/172.4*(1/AP$4*1000)/3</f>
        <v>0</v>
      </c>
      <c r="AQ8" s="13">
        <f>((N$8/N$13)*$E$3)/172.4*(1/AQ$4*1000)/3</f>
        <v>0</v>
      </c>
      <c r="AR8" s="13">
        <f>((O$8/O$13)*$E$3)/172.4*(1/AR$4*1000)/3</f>
        <v>0</v>
      </c>
      <c r="AS8" s="13">
        <f>((P$8/P$13)*$E$3)/172.4*(1/AS$4*1000)/3</f>
        <v>0</v>
      </c>
      <c r="AT8" s="13">
        <f>((Q$8/Q$13)*$E$3)/172.4*(1/AT$4*1000)/3</f>
        <v>0</v>
      </c>
      <c r="AU8" s="13">
        <f t="shared" ref="AU8:BE8" si="10">((R$8/R$13)*$E$3)/172.4*(1/AU$4*1000)/3</f>
        <v>0</v>
      </c>
      <c r="AV8" s="13">
        <f t="shared" si="10"/>
        <v>0</v>
      </c>
      <c r="AW8" s="13">
        <f t="shared" si="10"/>
        <v>0</v>
      </c>
      <c r="AX8" s="13">
        <f t="shared" si="10"/>
        <v>0</v>
      </c>
      <c r="AY8" s="13">
        <f t="shared" si="10"/>
        <v>0</v>
      </c>
      <c r="AZ8" s="13">
        <f t="shared" si="10"/>
        <v>0</v>
      </c>
      <c r="BA8" s="13">
        <f t="shared" si="10"/>
        <v>0</v>
      </c>
      <c r="BB8" s="13">
        <f t="shared" si="10"/>
        <v>0</v>
      </c>
      <c r="BC8" s="13">
        <f t="shared" si="10"/>
        <v>0</v>
      </c>
      <c r="BD8" s="13">
        <f t="shared" si="10"/>
        <v>0</v>
      </c>
      <c r="BE8" s="13">
        <f t="shared" si="10"/>
        <v>0</v>
      </c>
      <c r="BH8" s="28">
        <v>0.45833333333333331</v>
      </c>
      <c r="BI8" s="30">
        <f>AE8*100/AE$39</f>
        <v>0</v>
      </c>
      <c r="BJ8" s="30">
        <f>AF8*100/AF$39</f>
        <v>0</v>
      </c>
      <c r="BK8" s="30">
        <f>AG8*100/AG$39</f>
        <v>0</v>
      </c>
      <c r="BL8" s="30">
        <f>AH8*100/AH$39</f>
        <v>0</v>
      </c>
      <c r="BM8" s="30">
        <f>AI8*100/AI$39</f>
        <v>0</v>
      </c>
      <c r="BN8" s="30">
        <f>AJ8*100/AJ$39</f>
        <v>0</v>
      </c>
      <c r="BO8" s="30">
        <f>AK8*100/AK$39</f>
        <v>0</v>
      </c>
      <c r="BP8" s="30">
        <f>AL8*100/AL$39</f>
        <v>0</v>
      </c>
      <c r="BQ8" s="30">
        <f>AM8*100/AM$39</f>
        <v>0</v>
      </c>
      <c r="BR8" s="30">
        <f>AN8*100/AN$39</f>
        <v>0</v>
      </c>
      <c r="BS8" s="30">
        <f>AO8*100/AO$39</f>
        <v>0</v>
      </c>
      <c r="BT8" s="30">
        <f>AP8*100/AP$39</f>
        <v>0</v>
      </c>
      <c r="BU8" s="30">
        <f>AQ8*100/AQ$39</f>
        <v>0</v>
      </c>
      <c r="BV8" s="30">
        <f>AR8*100/AR$39</f>
        <v>0</v>
      </c>
      <c r="BW8" s="30">
        <f>AS8*100/AS$39</f>
        <v>0</v>
      </c>
      <c r="BX8" s="30">
        <f>AT8*100/AT$39</f>
        <v>0</v>
      </c>
      <c r="BY8" s="30">
        <f t="shared" si="5"/>
        <v>0</v>
      </c>
      <c r="BZ8" s="30">
        <f t="shared" si="5"/>
        <v>0</v>
      </c>
      <c r="CA8" s="30">
        <f t="shared" si="5"/>
        <v>0</v>
      </c>
      <c r="CB8" s="30">
        <f t="shared" si="5"/>
        <v>0</v>
      </c>
      <c r="CC8" s="30">
        <f t="shared" si="5"/>
        <v>0</v>
      </c>
      <c r="CD8" s="30">
        <f t="shared" si="5"/>
        <v>0</v>
      </c>
      <c r="CE8" s="30">
        <f t="shared" si="5"/>
        <v>0</v>
      </c>
      <c r="CF8" s="30">
        <f t="shared" si="5"/>
        <v>0</v>
      </c>
      <c r="CG8" s="30">
        <f t="shared" si="5"/>
        <v>0</v>
      </c>
      <c r="CH8" s="30">
        <f>BD8*100/BD$39</f>
        <v>0</v>
      </c>
      <c r="CI8" s="30">
        <f t="shared" si="6"/>
        <v>0</v>
      </c>
    </row>
    <row r="9" spans="1:114" ht="15" x14ac:dyDescent="0.25">
      <c r="A9" s="81" t="s">
        <v>47</v>
      </c>
      <c r="B9" s="23">
        <v>0</v>
      </c>
      <c r="C9" s="23">
        <v>0</v>
      </c>
      <c r="D9" s="23">
        <v>0</v>
      </c>
      <c r="E9" s="23">
        <v>48.871499999999997</v>
      </c>
      <c r="F9" s="23">
        <v>35.912199999999999</v>
      </c>
      <c r="G9" s="23">
        <v>41.427900000000001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5"/>
      <c r="AD9" s="28">
        <v>0.5</v>
      </c>
      <c r="AE9" s="13">
        <f>((B$9/B$13)*$E$3)/200.4*(1/AE$4*1000)/3</f>
        <v>0</v>
      </c>
      <c r="AF9" s="13">
        <f>((C$9/C$13)*$E$3)/200.4*(1/AF$4*1000)/3</f>
        <v>0</v>
      </c>
      <c r="AG9" s="13">
        <f>((D$9/D$13)*$E$3)/200.4*(1/AG$4*1000)/3</f>
        <v>0</v>
      </c>
      <c r="AH9" s="13">
        <f>((E$9/E$13)*$E$3)/200.4*(1/AH$4*1000)/3</f>
        <v>4.4827427979258756</v>
      </c>
      <c r="AI9" s="13">
        <f>((F$9/F$13)*$E$3)/200.4*(1/AI$4*1000)/3</f>
        <v>3.0308047053598521</v>
      </c>
      <c r="AJ9" s="13">
        <f>((G$9/G$13)*$E$3)/200.4*(1/AJ$4*1000)/3</f>
        <v>3.5473125664525487</v>
      </c>
      <c r="AK9" s="13">
        <f>((H$9/H$13)*$E$3)/200.4*(1/AK$4*1000)/3</f>
        <v>0</v>
      </c>
      <c r="AL9" s="13">
        <f>((I$9/I$13)*$E$3)/200.4*(1/AL$4*1000)/3</f>
        <v>0</v>
      </c>
      <c r="AM9" s="13">
        <f>((J$9/J$13)*$E$3)/200.4*(1/AM$4*1000)/3</f>
        <v>0</v>
      </c>
      <c r="AN9" s="13">
        <f>((K$9/K$13)*$E$3)/200.4*(1/AN$4*1000)/3</f>
        <v>0</v>
      </c>
      <c r="AO9" s="13">
        <f>((L$9/L$13)*$E$3)/200.4*(1/AO$4*1000)/3</f>
        <v>0</v>
      </c>
      <c r="AP9" s="13">
        <f>((M$9/M$13)*$E$3)/200.4*(1/AP$4*1000)/3</f>
        <v>0</v>
      </c>
      <c r="AQ9" s="13">
        <f>((N$9/N$13)*$E$3)/200.4*(1/AQ$4*1000)/3</f>
        <v>0</v>
      </c>
      <c r="AR9" s="13">
        <f>((O$9/O$13)*$E$3)/200.4*(1/AR$4*1000)/3</f>
        <v>0</v>
      </c>
      <c r="AS9" s="13">
        <f>((P$9/P$13)*$E$3)/200.4*(1/AS$4*1000)/3</f>
        <v>0</v>
      </c>
      <c r="AT9" s="13">
        <f>((Q$9/Q$13)*$E$3)/200.4*(1/AT$4*1000)/3</f>
        <v>0</v>
      </c>
      <c r="AU9" s="13">
        <f t="shared" ref="AU9:BE9" si="11">((R$9/R$13)*$E$3)/200.4*(1/AU$4*1000)/3</f>
        <v>0</v>
      </c>
      <c r="AV9" s="13">
        <f t="shared" si="11"/>
        <v>0</v>
      </c>
      <c r="AW9" s="13">
        <f t="shared" si="11"/>
        <v>0</v>
      </c>
      <c r="AX9" s="13">
        <f t="shared" si="11"/>
        <v>0</v>
      </c>
      <c r="AY9" s="13">
        <f t="shared" si="11"/>
        <v>0</v>
      </c>
      <c r="AZ9" s="13">
        <f t="shared" si="11"/>
        <v>0</v>
      </c>
      <c r="BA9" s="13">
        <f t="shared" si="11"/>
        <v>0</v>
      </c>
      <c r="BB9" s="13">
        <f t="shared" si="11"/>
        <v>0</v>
      </c>
      <c r="BC9" s="13">
        <f t="shared" si="11"/>
        <v>0</v>
      </c>
      <c r="BD9" s="13">
        <f t="shared" si="11"/>
        <v>0</v>
      </c>
      <c r="BE9" s="13">
        <f t="shared" si="11"/>
        <v>0</v>
      </c>
      <c r="BH9" s="28">
        <v>0.5</v>
      </c>
      <c r="BI9" s="30">
        <f>AE9*100/AE$39</f>
        <v>0</v>
      </c>
      <c r="BJ9" s="30">
        <f>AF9*100/AF$39</f>
        <v>0</v>
      </c>
      <c r="BK9" s="30">
        <f>AG9*100/AG$39</f>
        <v>0</v>
      </c>
      <c r="BL9" s="30">
        <f>AH9*100/AH$39</f>
        <v>0.57254419154447034</v>
      </c>
      <c r="BM9" s="30">
        <f>AI9*100/AI$39</f>
        <v>0.34928426249174177</v>
      </c>
      <c r="BN9" s="30">
        <f>AJ9*100/AJ$39</f>
        <v>0.4210794912423188</v>
      </c>
      <c r="BO9" s="30">
        <f>AK9*100/AK$39</f>
        <v>0</v>
      </c>
      <c r="BP9" s="30">
        <f>AL9*100/AL$39</f>
        <v>0</v>
      </c>
      <c r="BQ9" s="30">
        <f>AM9*100/AM$39</f>
        <v>0</v>
      </c>
      <c r="BR9" s="30">
        <f>AN9*100/AN$39</f>
        <v>0</v>
      </c>
      <c r="BS9" s="30">
        <f>AO9*100/AO$39</f>
        <v>0</v>
      </c>
      <c r="BT9" s="30">
        <f>AP9*100/AP$39</f>
        <v>0</v>
      </c>
      <c r="BU9" s="30">
        <f>AQ9*100/AQ$39</f>
        <v>0</v>
      </c>
      <c r="BV9" s="30">
        <f>AR9*100/AR$39</f>
        <v>0</v>
      </c>
      <c r="BW9" s="30">
        <f>AS9*100/AS$39</f>
        <v>0</v>
      </c>
      <c r="BX9" s="30">
        <f>AT9*100/AT$39</f>
        <v>0</v>
      </c>
      <c r="BY9" s="30">
        <f t="shared" si="5"/>
        <v>0</v>
      </c>
      <c r="BZ9" s="30">
        <f t="shared" si="5"/>
        <v>0</v>
      </c>
      <c r="CA9" s="30">
        <f t="shared" si="5"/>
        <v>0</v>
      </c>
      <c r="CB9" s="30">
        <f t="shared" si="5"/>
        <v>0</v>
      </c>
      <c r="CC9" s="30">
        <f t="shared" si="5"/>
        <v>0</v>
      </c>
      <c r="CD9" s="30">
        <f t="shared" si="5"/>
        <v>0</v>
      </c>
      <c r="CE9" s="30">
        <f t="shared" si="5"/>
        <v>0</v>
      </c>
      <c r="CF9" s="30">
        <f t="shared" si="5"/>
        <v>0</v>
      </c>
      <c r="CG9" s="30">
        <f t="shared" si="5"/>
        <v>0</v>
      </c>
      <c r="CH9" s="30">
        <f>BD9*100/BD$39</f>
        <v>0</v>
      </c>
      <c r="CI9" s="30">
        <f t="shared" si="6"/>
        <v>0</v>
      </c>
    </row>
    <row r="10" spans="1:114" ht="15" x14ac:dyDescent="0.25">
      <c r="A10" s="81" t="s">
        <v>78</v>
      </c>
      <c r="B10" s="23">
        <v>338.4563</v>
      </c>
      <c r="C10" s="23">
        <v>2610.1417999999999</v>
      </c>
      <c r="D10" s="23">
        <v>2404.0522000000001</v>
      </c>
      <c r="E10" s="23">
        <v>645.96709999999996</v>
      </c>
      <c r="F10" s="23">
        <v>708.8383</v>
      </c>
      <c r="G10" s="23">
        <v>745.20219999999995</v>
      </c>
      <c r="H10" s="23">
        <v>766.18100000000004</v>
      </c>
      <c r="I10" s="23">
        <v>792.96590000000003</v>
      </c>
      <c r="J10" s="23">
        <v>763.81679999999994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5"/>
      <c r="AD10" s="31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9"/>
      <c r="BH10" s="28">
        <v>0.54166666666666663</v>
      </c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P10" s="48"/>
      <c r="CQ10" s="48"/>
      <c r="CR10" s="48"/>
      <c r="CS10" s="49"/>
      <c r="CT10" s="37"/>
      <c r="CU10" s="37"/>
    </row>
    <row r="11" spans="1:114" ht="15" x14ac:dyDescent="0.25">
      <c r="A11" s="81" t="s">
        <v>48</v>
      </c>
      <c r="B11" s="67">
        <v>135.3845</v>
      </c>
      <c r="C11" s="67">
        <v>365.55900000000003</v>
      </c>
      <c r="D11" s="67">
        <v>309.83710000000002</v>
      </c>
      <c r="E11" s="67">
        <v>240.8981</v>
      </c>
      <c r="F11" s="67">
        <v>280.77370000000002</v>
      </c>
      <c r="G11" s="67">
        <v>289.577</v>
      </c>
      <c r="H11" s="67">
        <v>535.71140000000003</v>
      </c>
      <c r="I11" s="67">
        <v>636.66610000000003</v>
      </c>
      <c r="J11" s="67">
        <v>596.69579999999996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 t="s">
        <v>109</v>
      </c>
      <c r="S11" s="67" t="s">
        <v>110</v>
      </c>
      <c r="T11" s="67">
        <v>0</v>
      </c>
      <c r="U11" s="67" t="s">
        <v>111</v>
      </c>
      <c r="V11" s="67" t="s">
        <v>112</v>
      </c>
      <c r="W11" s="67" t="s">
        <v>113</v>
      </c>
      <c r="X11" s="67" t="s">
        <v>114</v>
      </c>
      <c r="Y11" s="67" t="s">
        <v>115</v>
      </c>
      <c r="Z11" s="67" t="s">
        <v>116</v>
      </c>
      <c r="AA11" s="67" t="s">
        <v>117</v>
      </c>
      <c r="AB11" s="67" t="s">
        <v>118</v>
      </c>
      <c r="AC11" s="68"/>
      <c r="AD11" s="33" t="s">
        <v>13</v>
      </c>
      <c r="AE11" s="13">
        <f>((B$11/B$13)*$E$3)/228.4*(1/AE$4*1000)/3</f>
        <v>4.1124124760232261</v>
      </c>
      <c r="AF11" s="13">
        <f>((C$11/C$13)*$E$3)/228.4*(1/AF$4*1000)/3</f>
        <v>7.151981740343853</v>
      </c>
      <c r="AG11" s="13">
        <f>((D$11/D$13)*$E$3)/228.4*(1/AG$4*1000)/3</f>
        <v>6.1005762036260647</v>
      </c>
      <c r="AH11" s="13">
        <f>((E$11/E$13)*$E$3)/228.4*(1/AH$4*1000)/3</f>
        <v>19.387559552813581</v>
      </c>
      <c r="AI11" s="13">
        <f>((F$11/F$13)*$E$3)/228.4*(1/AI$4*1000)/3</f>
        <v>20.790933269707427</v>
      </c>
      <c r="AJ11" s="13">
        <f>((G$11/G$13)*$E$3)/228.4*(1/AJ$4*1000)/3</f>
        <v>21.755657861411294</v>
      </c>
      <c r="AK11" s="13">
        <f>((H$11/H$13)*$E$3)/228.4*(1/AK$4*1000)/3</f>
        <v>39.647537244470733</v>
      </c>
      <c r="AL11" s="13">
        <f>((I$11/I$13)*$E$3)/228.4*(1/AL$4*1000)/3</f>
        <v>45.393466750518066</v>
      </c>
      <c r="AM11" s="13">
        <f>((J$11/J$13)*$E$3)/228.4*(1/AM$4*1000)/3</f>
        <v>47.20044768699146</v>
      </c>
      <c r="AN11" s="13">
        <f>((K$11/K$13)*$E$3)/228.4*(1/AN$4*1000)/3</f>
        <v>0</v>
      </c>
      <c r="AO11" s="13">
        <f>((L$11/L$13)*$E$3)/228.4*(1/AO$4*1000)/3</f>
        <v>0</v>
      </c>
      <c r="AP11" s="13">
        <f>((M$11/M$13)*$E$3)/228.4*(1/AP$4*1000)/3</f>
        <v>0</v>
      </c>
      <c r="AQ11" s="13">
        <f>((N$11/N$13)*$E$3)/228.4*(1/AQ$4*1000)/3</f>
        <v>0</v>
      </c>
      <c r="AR11" s="13">
        <f>((O$11/O$13)*$E$3)/228.4*(1/AR$4*1000)/3</f>
        <v>0</v>
      </c>
      <c r="AS11" s="13">
        <f>((P$11/P$13)*$E$3)/228.4*(1/AS$4*1000)/3</f>
        <v>0</v>
      </c>
      <c r="AT11" s="13">
        <f>((Q$11/Q$13)*$E$3)/228.4*(1/AT$4*1000)/3</f>
        <v>0</v>
      </c>
      <c r="AU11" s="13">
        <f t="shared" ref="AU11:BE11" si="12">((R$11/R$13)*$E$3)/228.4*(1/AU$4*1000)/3</f>
        <v>16.817608236685636</v>
      </c>
      <c r="AV11" s="13">
        <f t="shared" si="12"/>
        <v>12.845165440170163</v>
      </c>
      <c r="AW11" s="13">
        <f t="shared" si="12"/>
        <v>0</v>
      </c>
      <c r="AX11" s="13">
        <f t="shared" si="12"/>
        <v>20.78816522895103</v>
      </c>
      <c r="AY11" s="13">
        <f t="shared" si="12"/>
        <v>12.587021798025274</v>
      </c>
      <c r="AZ11" s="13">
        <f t="shared" si="12"/>
        <v>38.82072437065478</v>
      </c>
      <c r="BA11" s="13">
        <f t="shared" si="12"/>
        <v>38.552140944655036</v>
      </c>
      <c r="BB11" s="13">
        <f t="shared" si="12"/>
        <v>45.634717719607202</v>
      </c>
      <c r="BC11" s="13">
        <f t="shared" si="12"/>
        <v>35.227297350155489</v>
      </c>
      <c r="BD11" s="13">
        <f t="shared" si="12"/>
        <v>39.518884276665325</v>
      </c>
      <c r="BE11" s="13">
        <f t="shared" si="12"/>
        <v>48.008639759556949</v>
      </c>
      <c r="BH11" s="28">
        <v>0.58333333333333337</v>
      </c>
      <c r="BI11" s="30">
        <f>AE11*100/AE$39</f>
        <v>2.4672919596204315</v>
      </c>
      <c r="BJ11" s="30">
        <f>AF11*100/AF$39</f>
        <v>4.993223309647604</v>
      </c>
      <c r="BK11" s="30">
        <f>AG11*100/AG$39</f>
        <v>4.0884288085914147</v>
      </c>
      <c r="BL11" s="30">
        <f>AH11*100/AH$39</f>
        <v>2.476214922551859</v>
      </c>
      <c r="BM11" s="30">
        <f>AI11*100/AI$39</f>
        <v>2.3960454399395399</v>
      </c>
      <c r="BN11" s="30">
        <f>AJ11*100/AJ$39</f>
        <v>2.5824793198548726</v>
      </c>
      <c r="BO11" s="30">
        <f>AK11*100/AK$39</f>
        <v>1.3179815373161889</v>
      </c>
      <c r="BP11" s="30">
        <f>AL11*100/AL$39</f>
        <v>1.3072656609367541</v>
      </c>
      <c r="BQ11" s="30">
        <f>AM11*100/AM$39</f>
        <v>1.3104799300442243</v>
      </c>
      <c r="BR11" s="30">
        <f>AN11*100/AN$39</f>
        <v>0</v>
      </c>
      <c r="BS11" s="30">
        <f>AO11*100/AO$39</f>
        <v>0</v>
      </c>
      <c r="BT11" s="30">
        <f>AP11*100/AP$39</f>
        <v>0</v>
      </c>
      <c r="BU11" s="30">
        <f>AQ11*100/AQ$39</f>
        <v>0</v>
      </c>
      <c r="BV11" s="30">
        <f>AR11*100/AR$39</f>
        <v>0</v>
      </c>
      <c r="BW11" s="30">
        <f>AS11*100/AS$39</f>
        <v>0</v>
      </c>
      <c r="BX11" s="30">
        <f>AT11*100/AT$39</f>
        <v>0</v>
      </c>
      <c r="BY11" s="30">
        <f t="shared" ref="BY11:CG15" si="13">AU11*100/AU$39</f>
        <v>1.9853341346703735</v>
      </c>
      <c r="BZ11" s="30">
        <f t="shared" si="13"/>
        <v>1.4592850232418388</v>
      </c>
      <c r="CA11" s="30">
        <f t="shared" si="13"/>
        <v>0</v>
      </c>
      <c r="CB11" s="30">
        <f t="shared" si="13"/>
        <v>1.9958725590652204</v>
      </c>
      <c r="CC11" s="30">
        <f t="shared" si="13"/>
        <v>1.1555910274038872</v>
      </c>
      <c r="CD11" s="30">
        <f t="shared" si="13"/>
        <v>1.1235265750550147</v>
      </c>
      <c r="CE11" s="30">
        <f t="shared" si="13"/>
        <v>0.98187905893882121</v>
      </c>
      <c r="CF11" s="30">
        <f t="shared" si="13"/>
        <v>1.1030643701158158</v>
      </c>
      <c r="CG11" s="30">
        <f t="shared" si="13"/>
        <v>0.98772997821690733</v>
      </c>
      <c r="CH11" s="30">
        <f>BD11*100/BD$39</f>
        <v>0.94494932504342588</v>
      </c>
      <c r="CI11" s="30">
        <f t="shared" ref="CI11:CI15" si="14">BE11*100/BE$39</f>
        <v>1.1233799460536809</v>
      </c>
      <c r="CP11" s="36"/>
      <c r="CQ11" s="36"/>
      <c r="CR11" s="36"/>
      <c r="CS11" s="37"/>
      <c r="CT11" s="37"/>
      <c r="CU11" s="37"/>
    </row>
    <row r="12" spans="1:114" ht="15" x14ac:dyDescent="0.25">
      <c r="A12" s="81" t="s">
        <v>56</v>
      </c>
      <c r="B12" s="67">
        <v>0</v>
      </c>
      <c r="C12" s="67">
        <v>255.43639999999999</v>
      </c>
      <c r="D12" s="67">
        <v>257.423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67">
        <v>0</v>
      </c>
      <c r="AC12" s="68"/>
      <c r="AD12" s="28">
        <v>0.58402777777777781</v>
      </c>
      <c r="AE12" s="13">
        <f>((B$12/B$13)*$E$3)/226.4*(1/AE$4*1000)/3</f>
        <v>0</v>
      </c>
      <c r="AF12" s="13">
        <f>((C$12/C$13)*$E$3)/226.4*(1/AF$4*1000)/3</f>
        <v>5.0416347383713305</v>
      </c>
      <c r="AG12" s="13">
        <f>((D$12/D$13)*$E$3)/226.4*(1/AG$4*1000)/3</f>
        <v>5.1133375327989343</v>
      </c>
      <c r="AH12" s="13">
        <f>((E$12/E$13)*$E$3)/226.4*(1/AH$4*1000)/3</f>
        <v>0</v>
      </c>
      <c r="AI12" s="13">
        <f>((F$12/F$13)*$E$3)/226.4*(1/AI$4*1000)/3</f>
        <v>0</v>
      </c>
      <c r="AJ12" s="13">
        <f>((G$12/G$13)*$E$3)/226.4*(1/AJ$4*1000)/3</f>
        <v>0</v>
      </c>
      <c r="AK12" s="13">
        <f>((H$12/H$13)*$E$3)/226.4*(1/AK$4*1000)/3</f>
        <v>0</v>
      </c>
      <c r="AL12" s="13">
        <f>((I$12/I$13)*$E$3)/226.4*(1/AL$4*1000)/3</f>
        <v>0</v>
      </c>
      <c r="AM12" s="13">
        <f>((J$12/J$13)*$E$3)/226.4*(1/AM$4*1000)/3</f>
        <v>0</v>
      </c>
      <c r="AN12" s="13">
        <f>((K$12/K$13)*$E$3)/226.4*(1/AN$4*1000)/3</f>
        <v>0</v>
      </c>
      <c r="AO12" s="13">
        <f>((L$12/L$13)*$E$3)/226.4*(1/AO$4*1000)/3</f>
        <v>0</v>
      </c>
      <c r="AP12" s="13">
        <f>((M$12/M$13)*$E$3)/226.4*(1/AP$4*1000)/3</f>
        <v>0</v>
      </c>
      <c r="AQ12" s="13">
        <f>((N$12/N$13)*$E$3)/226.4*(1/AQ$4*1000)/3</f>
        <v>0</v>
      </c>
      <c r="AR12" s="13">
        <f>((O$12/O$13)*$E$3)/226.4*(1/AR$4*1000)/3</f>
        <v>0</v>
      </c>
      <c r="AS12" s="13">
        <f>((P$12/P$13)*$E$3)/226.4*(1/AS$4*1000)/3</f>
        <v>0</v>
      </c>
      <c r="AT12" s="13">
        <f>((Q$12/Q$13)*$E$3)/226.4*(1/AT$4*1000)/3</f>
        <v>0</v>
      </c>
      <c r="AU12" s="13">
        <f t="shared" ref="AU12:BE12" si="15">((R$12/R$13)*$E$3)/226.4*(1/AU$4*1000)/3</f>
        <v>0</v>
      </c>
      <c r="AV12" s="13">
        <f t="shared" si="15"/>
        <v>0</v>
      </c>
      <c r="AW12" s="13">
        <f t="shared" si="15"/>
        <v>0</v>
      </c>
      <c r="AX12" s="13">
        <f t="shared" si="15"/>
        <v>0</v>
      </c>
      <c r="AY12" s="13">
        <f t="shared" si="15"/>
        <v>0</v>
      </c>
      <c r="AZ12" s="13">
        <f t="shared" si="15"/>
        <v>0</v>
      </c>
      <c r="BA12" s="13">
        <f t="shared" si="15"/>
        <v>0</v>
      </c>
      <c r="BB12" s="13">
        <f t="shared" si="15"/>
        <v>0</v>
      </c>
      <c r="BC12" s="13">
        <f t="shared" si="15"/>
        <v>0</v>
      </c>
      <c r="BD12" s="13">
        <f t="shared" si="15"/>
        <v>0</v>
      </c>
      <c r="BE12" s="13">
        <f t="shared" si="15"/>
        <v>0</v>
      </c>
      <c r="BH12" s="28">
        <v>0.58402777777777781</v>
      </c>
      <c r="BI12" s="30">
        <f>AE12*100/AE$39</f>
        <v>0</v>
      </c>
      <c r="BJ12" s="30">
        <f>AF12*100/AF$39</f>
        <v>3.5198647044021274</v>
      </c>
      <c r="BK12" s="30">
        <f>AG12*100/AG$39</f>
        <v>3.4268101535591136</v>
      </c>
      <c r="BL12" s="30">
        <f>AH12*100/AH$39</f>
        <v>0</v>
      </c>
      <c r="BM12" s="30">
        <f>AI12*100/AI$39</f>
        <v>0</v>
      </c>
      <c r="BN12" s="30">
        <f>AJ12*100/AJ$39</f>
        <v>0</v>
      </c>
      <c r="BO12" s="30">
        <f>AK12*100/AK$39</f>
        <v>0</v>
      </c>
      <c r="BP12" s="30">
        <f>AL12*100/AL$39</f>
        <v>0</v>
      </c>
      <c r="BQ12" s="30">
        <f>AM12*100/AM$39</f>
        <v>0</v>
      </c>
      <c r="BR12" s="30">
        <f>AN12*100/AN$39</f>
        <v>0</v>
      </c>
      <c r="BS12" s="30">
        <f>AO12*100/AO$39</f>
        <v>0</v>
      </c>
      <c r="BT12" s="30">
        <f>AP12*100/AP$39</f>
        <v>0</v>
      </c>
      <c r="BU12" s="30">
        <f>AQ12*100/AQ$39</f>
        <v>0</v>
      </c>
      <c r="BV12" s="30">
        <f>AR12*100/AR$39</f>
        <v>0</v>
      </c>
      <c r="BW12" s="30">
        <f>AS12*100/AS$39</f>
        <v>0</v>
      </c>
      <c r="BX12" s="30">
        <f>AT12*100/AT$39</f>
        <v>0</v>
      </c>
      <c r="BY12" s="30">
        <f t="shared" si="13"/>
        <v>0</v>
      </c>
      <c r="BZ12" s="30">
        <f t="shared" si="13"/>
        <v>0</v>
      </c>
      <c r="CA12" s="30">
        <f t="shared" si="13"/>
        <v>0</v>
      </c>
      <c r="CB12" s="30">
        <f t="shared" si="13"/>
        <v>0</v>
      </c>
      <c r="CC12" s="30">
        <f t="shared" si="13"/>
        <v>0</v>
      </c>
      <c r="CD12" s="30">
        <f t="shared" si="13"/>
        <v>0</v>
      </c>
      <c r="CE12" s="30">
        <f t="shared" si="13"/>
        <v>0</v>
      </c>
      <c r="CF12" s="30">
        <f t="shared" si="13"/>
        <v>0</v>
      </c>
      <c r="CG12" s="30">
        <f t="shared" si="13"/>
        <v>0</v>
      </c>
      <c r="CH12" s="30">
        <f>BD12*100/BD$39</f>
        <v>0</v>
      </c>
      <c r="CI12" s="30">
        <f t="shared" si="14"/>
        <v>0</v>
      </c>
      <c r="CP12" s="36"/>
      <c r="CQ12" s="36"/>
      <c r="CR12" s="36"/>
      <c r="CS12" s="37"/>
      <c r="CT12" s="37"/>
      <c r="CU12" s="37"/>
    </row>
    <row r="13" spans="1:114" ht="15" x14ac:dyDescent="0.25">
      <c r="A13" s="81" t="s">
        <v>49</v>
      </c>
      <c r="B13" s="67">
        <v>8026.8423000000003</v>
      </c>
      <c r="C13" s="67">
        <v>12462.453100000001</v>
      </c>
      <c r="D13" s="67">
        <v>12383.260700000001</v>
      </c>
      <c r="E13" s="67">
        <v>3029.5817999999999</v>
      </c>
      <c r="F13" s="67">
        <v>3292.7206999999999</v>
      </c>
      <c r="G13" s="67">
        <v>3245.3706000000002</v>
      </c>
      <c r="H13" s="67">
        <v>3294.4819000000002</v>
      </c>
      <c r="I13" s="67">
        <v>3419.7222000000002</v>
      </c>
      <c r="J13" s="67">
        <v>3082.3312999999998</v>
      </c>
      <c r="K13" s="67" t="s">
        <v>119</v>
      </c>
      <c r="L13" s="67" t="s">
        <v>120</v>
      </c>
      <c r="M13" s="67" t="s">
        <v>121</v>
      </c>
      <c r="N13" s="67" t="s">
        <v>122</v>
      </c>
      <c r="O13" s="67" t="s">
        <v>123</v>
      </c>
      <c r="P13" s="67" t="s">
        <v>124</v>
      </c>
      <c r="Q13" s="67" t="s">
        <v>125</v>
      </c>
      <c r="R13" s="67" t="s">
        <v>126</v>
      </c>
      <c r="S13" s="67" t="s">
        <v>127</v>
      </c>
      <c r="T13" s="67" t="s">
        <v>128</v>
      </c>
      <c r="U13" s="67" t="s">
        <v>129</v>
      </c>
      <c r="V13" s="67" t="s">
        <v>130</v>
      </c>
      <c r="W13" s="67" t="s">
        <v>131</v>
      </c>
      <c r="X13" s="67" t="s">
        <v>132</v>
      </c>
      <c r="Y13" s="67" t="s">
        <v>133</v>
      </c>
      <c r="Z13" s="67" t="s">
        <v>134</v>
      </c>
      <c r="AA13" s="67" t="s">
        <v>135</v>
      </c>
      <c r="AB13" s="67" t="s">
        <v>136</v>
      </c>
      <c r="AC13" s="68"/>
      <c r="AD13" s="66"/>
      <c r="BH13" s="28">
        <v>0.625</v>
      </c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>
        <f>AO13*100/AO$39</f>
        <v>0</v>
      </c>
      <c r="BT13" s="30">
        <f>AP13*100/AP$39</f>
        <v>0</v>
      </c>
      <c r="BU13" s="30">
        <f>AQ13*100/AQ$39</f>
        <v>0</v>
      </c>
      <c r="BV13" s="30">
        <f>AR13*100/AR$39</f>
        <v>0</v>
      </c>
      <c r="BW13" s="30">
        <f>AS13*100/AS$39</f>
        <v>0</v>
      </c>
      <c r="BX13" s="30">
        <f>AT13*100/AT$39</f>
        <v>0</v>
      </c>
      <c r="BY13" s="30">
        <f t="shared" si="13"/>
        <v>0</v>
      </c>
      <c r="BZ13" s="30">
        <f t="shared" si="13"/>
        <v>0</v>
      </c>
      <c r="CA13" s="30">
        <f t="shared" si="13"/>
        <v>0</v>
      </c>
      <c r="CB13" s="30">
        <f t="shared" si="13"/>
        <v>0</v>
      </c>
      <c r="CC13" s="30">
        <f t="shared" si="13"/>
        <v>0</v>
      </c>
      <c r="CD13" s="30">
        <f t="shared" si="13"/>
        <v>0</v>
      </c>
      <c r="CE13" s="30">
        <f t="shared" si="13"/>
        <v>0</v>
      </c>
      <c r="CF13" s="30">
        <f t="shared" si="13"/>
        <v>0</v>
      </c>
      <c r="CG13" s="30">
        <f t="shared" si="13"/>
        <v>0</v>
      </c>
      <c r="CH13" s="30">
        <f>BD13*100/BD$39</f>
        <v>0</v>
      </c>
      <c r="CI13" s="30">
        <f t="shared" si="14"/>
        <v>0</v>
      </c>
      <c r="CP13" s="36"/>
      <c r="CQ13" s="36"/>
      <c r="CR13" s="36"/>
      <c r="CS13" s="37"/>
      <c r="CT13" s="37"/>
      <c r="CU13" s="37"/>
    </row>
    <row r="14" spans="1:114" ht="15" x14ac:dyDescent="0.25">
      <c r="A14" s="81" t="s">
        <v>57</v>
      </c>
      <c r="B14" s="67">
        <v>0</v>
      </c>
      <c r="C14" s="67">
        <v>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0</v>
      </c>
      <c r="AB14" s="67">
        <v>0</v>
      </c>
      <c r="AC14" s="68"/>
      <c r="AD14" s="28">
        <v>0.62569444444444444</v>
      </c>
      <c r="AE14" s="13">
        <f>((B$14/B$13)*$E$3)/240.4*(1/AE$4*1000)/3</f>
        <v>0</v>
      </c>
      <c r="AF14" s="13">
        <f>((C$14/C$13)*$E$3)/240.4*(1/AF$4*1000)/3</f>
        <v>0</v>
      </c>
      <c r="AG14" s="13">
        <f>((D$14/D$13)*$E$3)/240.4*(1/AG$4*1000)/3</f>
        <v>0</v>
      </c>
      <c r="AH14" s="13">
        <f>((E$14/E$13)*$E$3)/240.4*(1/AH$4*1000)/3</f>
        <v>0</v>
      </c>
      <c r="AI14" s="13">
        <f>((F$14/F$13)*$E$3)/240.4*(1/AI$4*1000)/3</f>
        <v>0</v>
      </c>
      <c r="AJ14" s="13">
        <f>((G$14/G$13)*$E$3)/240.4*(1/AJ$4*1000)/3</f>
        <v>0</v>
      </c>
      <c r="AK14" s="13">
        <f>((H$14/H$13)*$E$3)/240.4*(1/AK$4*1000)/3</f>
        <v>0</v>
      </c>
      <c r="AL14" s="13">
        <f>((I$14/I$13)*$E$3)/240.4*(1/AL$4*1000)/3</f>
        <v>0</v>
      </c>
      <c r="AM14" s="13">
        <f>((J$14/J$13)*$E$3)/240.4*(1/AM$4*1000)/3</f>
        <v>0</v>
      </c>
      <c r="AN14" s="13">
        <f>((K$14/K$13)*$E$3)/240.4*(1/AN$4*1000)/3</f>
        <v>0</v>
      </c>
      <c r="AO14" s="13">
        <f>((L$14/L$13)*$E$3)/240.4*(1/AO$4*1000)/3</f>
        <v>0</v>
      </c>
      <c r="AP14" s="13">
        <f>((M$14/M$13)*$E$3)/240.4*(1/AP$4*1000)/3</f>
        <v>0</v>
      </c>
      <c r="AQ14" s="13">
        <f>((N$14/N$13)*$E$3)/240.4*(1/AQ$4*1000)/3</f>
        <v>0</v>
      </c>
      <c r="AR14" s="13">
        <f>((O$14/O$13)*$E$3)/240.4*(1/AR$4*1000)/3</f>
        <v>0</v>
      </c>
      <c r="AS14" s="13">
        <f>((P$14/P$13)*$E$3)/240.4*(1/AS$4*1000)/3</f>
        <v>0</v>
      </c>
      <c r="AT14" s="13">
        <f>((Q$14/Q$13)*$E$3)/240.4*(1/AT$4*1000)/3</f>
        <v>0</v>
      </c>
      <c r="AU14" s="13">
        <f t="shared" ref="AU14:BE14" si="16">((R$14/R$13)*$E$3)/240.4*(1/AU$4*1000)/3</f>
        <v>0</v>
      </c>
      <c r="AV14" s="13">
        <f t="shared" si="16"/>
        <v>0</v>
      </c>
      <c r="AW14" s="13">
        <f t="shared" si="16"/>
        <v>0</v>
      </c>
      <c r="AX14" s="13">
        <f t="shared" si="16"/>
        <v>0</v>
      </c>
      <c r="AY14" s="13">
        <f t="shared" si="16"/>
        <v>0</v>
      </c>
      <c r="AZ14" s="13">
        <f t="shared" si="16"/>
        <v>0</v>
      </c>
      <c r="BA14" s="13">
        <f t="shared" si="16"/>
        <v>0</v>
      </c>
      <c r="BB14" s="13">
        <f t="shared" si="16"/>
        <v>0</v>
      </c>
      <c r="BC14" s="13">
        <f t="shared" si="16"/>
        <v>0</v>
      </c>
      <c r="BD14" s="13">
        <f t="shared" si="16"/>
        <v>0</v>
      </c>
      <c r="BE14" s="13">
        <f t="shared" si="16"/>
        <v>0</v>
      </c>
      <c r="BH14" s="28">
        <v>0.62569444444444444</v>
      </c>
      <c r="BI14" s="30">
        <f>AE14*100/AE$39</f>
        <v>0</v>
      </c>
      <c r="BJ14" s="30">
        <f>AF14*100/AF$39</f>
        <v>0</v>
      </c>
      <c r="BK14" s="30">
        <f>AG14*100/AG$39</f>
        <v>0</v>
      </c>
      <c r="BL14" s="30">
        <f>AH14*100/AH$39</f>
        <v>0</v>
      </c>
      <c r="BM14" s="30">
        <f>AI14*100/AI$39</f>
        <v>0</v>
      </c>
      <c r="BN14" s="30">
        <f>AJ14*100/AJ$39</f>
        <v>0</v>
      </c>
      <c r="BO14" s="30">
        <f>AK14*100/AK$39</f>
        <v>0</v>
      </c>
      <c r="BP14" s="30">
        <f>AL14*100/AL$39</f>
        <v>0</v>
      </c>
      <c r="BQ14" s="30">
        <f>AM14*100/AM$39</f>
        <v>0</v>
      </c>
      <c r="BR14" s="30">
        <f>AN14*100/AN$39</f>
        <v>0</v>
      </c>
      <c r="BS14" s="30">
        <f>AO14*100/AO$39</f>
        <v>0</v>
      </c>
      <c r="BT14" s="30">
        <f>AP14*100/AP$39</f>
        <v>0</v>
      </c>
      <c r="BU14" s="30">
        <f>AQ14*100/AQ$39</f>
        <v>0</v>
      </c>
      <c r="BV14" s="30">
        <f>AR14*100/AR$39</f>
        <v>0</v>
      </c>
      <c r="BW14" s="30">
        <f>AS14*100/AS$39</f>
        <v>0</v>
      </c>
      <c r="BX14" s="30">
        <f>AT14*100/AT$39</f>
        <v>0</v>
      </c>
      <c r="BY14" s="30">
        <f t="shared" si="13"/>
        <v>0</v>
      </c>
      <c r="BZ14" s="30">
        <f t="shared" si="13"/>
        <v>0</v>
      </c>
      <c r="CA14" s="30">
        <f t="shared" si="13"/>
        <v>0</v>
      </c>
      <c r="CB14" s="30">
        <f t="shared" si="13"/>
        <v>0</v>
      </c>
      <c r="CC14" s="30">
        <f t="shared" si="13"/>
        <v>0</v>
      </c>
      <c r="CD14" s="30">
        <f t="shared" si="13"/>
        <v>0</v>
      </c>
      <c r="CE14" s="30">
        <f t="shared" si="13"/>
        <v>0</v>
      </c>
      <c r="CF14" s="30">
        <f t="shared" si="13"/>
        <v>0</v>
      </c>
      <c r="CG14" s="30">
        <f t="shared" si="13"/>
        <v>0</v>
      </c>
      <c r="CH14" s="30">
        <f>BD14*100/BD$39</f>
        <v>0</v>
      </c>
      <c r="CI14" s="30">
        <f t="shared" si="14"/>
        <v>0</v>
      </c>
      <c r="CP14" s="36"/>
      <c r="CQ14" s="36"/>
      <c r="CR14" s="36"/>
      <c r="CS14" s="37"/>
      <c r="CT14" s="37"/>
      <c r="CU14" s="37"/>
      <c r="CV14" s="37"/>
      <c r="CW14" s="37"/>
    </row>
    <row r="15" spans="1:114" ht="15" x14ac:dyDescent="0.25">
      <c r="A15" s="81" t="s">
        <v>50</v>
      </c>
      <c r="B15" s="67">
        <v>1446.9866</v>
      </c>
      <c r="C15" s="67">
        <v>2042.4734000000001</v>
      </c>
      <c r="D15" s="67">
        <v>2212.0956999999999</v>
      </c>
      <c r="E15" s="67">
        <v>2207.6547999999998</v>
      </c>
      <c r="F15" s="67">
        <v>2694.2438999999999</v>
      </c>
      <c r="G15" s="67">
        <v>2679.6091000000001</v>
      </c>
      <c r="H15" s="67">
        <v>12020.9648</v>
      </c>
      <c r="I15" s="67">
        <v>14305.819299999999</v>
      </c>
      <c r="J15" s="67">
        <v>13435.5088</v>
      </c>
      <c r="K15" s="67" t="s">
        <v>137</v>
      </c>
      <c r="L15" s="67" t="s">
        <v>138</v>
      </c>
      <c r="M15" s="67" t="s">
        <v>139</v>
      </c>
      <c r="N15" s="67">
        <v>0</v>
      </c>
      <c r="O15" s="67" t="s">
        <v>140</v>
      </c>
      <c r="P15" s="67" t="s">
        <v>141</v>
      </c>
      <c r="Q15" s="67" t="s">
        <v>142</v>
      </c>
      <c r="R15" s="67" t="s">
        <v>143</v>
      </c>
      <c r="S15" s="67" t="s">
        <v>144</v>
      </c>
      <c r="T15" s="67" t="s">
        <v>145</v>
      </c>
      <c r="U15" s="67" t="s">
        <v>146</v>
      </c>
      <c r="V15" s="67" t="s">
        <v>147</v>
      </c>
      <c r="W15" s="67" t="s">
        <v>148</v>
      </c>
      <c r="X15" s="67" t="s">
        <v>149</v>
      </c>
      <c r="Y15" s="67" t="s">
        <v>150</v>
      </c>
      <c r="Z15" s="67" t="s">
        <v>151</v>
      </c>
      <c r="AA15" s="67" t="s">
        <v>152</v>
      </c>
      <c r="AB15" s="67" t="s">
        <v>153</v>
      </c>
      <c r="AC15" s="68"/>
      <c r="AD15" s="33" t="s">
        <v>14</v>
      </c>
      <c r="AE15" s="13">
        <f>((B$15/B$13)*$E$3)/256.4*(1/AE$4*1000)/3</f>
        <v>39.153474775010089</v>
      </c>
      <c r="AF15" s="13">
        <f>((C$15/C$13)*$E$3)/256.4*(1/AF$4*1000)/3</f>
        <v>35.596180829815808</v>
      </c>
      <c r="AG15" s="13">
        <f>((D$15/D$13)*$E$3)/256.4*(1/AG$4*1000)/3</f>
        <v>38.798901302873709</v>
      </c>
      <c r="AH15" s="13">
        <f>((E$15/E$13)*$E$3)/256.4*(1/AH$4*1000)/3</f>
        <v>158.2701503083168</v>
      </c>
      <c r="AI15" s="13">
        <f>((F$15/F$13)*$E$3)/256.4*(1/AI$4*1000)/3</f>
        <v>177.71846209681766</v>
      </c>
      <c r="AJ15" s="13">
        <f>((G$15/G$13)*$E$3)/256.4*(1/AJ$4*1000)/3</f>
        <v>179.33195313490558</v>
      </c>
      <c r="AK15" s="13">
        <f>((H$15/H$13)*$E$3)/256.4*(1/AK$4*1000)/3</f>
        <v>792.50631516226292</v>
      </c>
      <c r="AL15" s="13">
        <f>((I$15/I$13)*$E$3)/256.4*(1/AL$4*1000)/3</f>
        <v>908.59938681639881</v>
      </c>
      <c r="AM15" s="13">
        <f>((J$15/J$13)*$E$3)/256.4*(1/AM$4*1000)/3</f>
        <v>946.72824314716729</v>
      </c>
      <c r="AN15" s="13">
        <f>((K$15/K$13)*$E$3)/256.4*(1/AN$4*1000)/3</f>
        <v>20.498438846350655</v>
      </c>
      <c r="AO15" s="13">
        <f>((L$15/L$13)*$E$3)/256.4*(1/AO$4*1000)/3</f>
        <v>27.174188498333312</v>
      </c>
      <c r="AP15" s="13">
        <f>((M$15/M$13)*$E$3)/256.4*(1/AP$4*1000)/3</f>
        <v>28.695554961155054</v>
      </c>
      <c r="AQ15" s="13">
        <f>((N$15/N$13)*$E$3)/256.4*(1/AQ$4*1000)/3</f>
        <v>0</v>
      </c>
      <c r="AR15" s="13">
        <f>((O$15/O$13)*$E$3)/256.4*(1/AR$4*1000)/3</f>
        <v>14.554355324157759</v>
      </c>
      <c r="AS15" s="13">
        <f>((P$15/P$13)*$E$3)/256.4*(1/AS$4*1000)/3</f>
        <v>12.405271371670308</v>
      </c>
      <c r="AT15" s="13">
        <f>((Q$15/Q$13)*$E$3)/256.4*(1/AT$4*1000)/3</f>
        <v>137.78880698132278</v>
      </c>
      <c r="AU15" s="13">
        <f t="shared" ref="AU15:BE15" si="17">((R$15/R$13)*$E$3)/256.4*(1/AU$4*1000)/3</f>
        <v>174.83224919790382</v>
      </c>
      <c r="AV15" s="13">
        <f t="shared" si="17"/>
        <v>180.88249135313035</v>
      </c>
      <c r="AW15" s="13">
        <f t="shared" si="17"/>
        <v>179.34009490499315</v>
      </c>
      <c r="AX15" s="13">
        <f t="shared" si="17"/>
        <v>190.25552569300203</v>
      </c>
      <c r="AY15" s="13">
        <f t="shared" si="17"/>
        <v>209.30998814877969</v>
      </c>
      <c r="AZ15" s="13">
        <f t="shared" si="17"/>
        <v>796.12093937844656</v>
      </c>
      <c r="BA15" s="13">
        <f t="shared" si="17"/>
        <v>869.84118218671199</v>
      </c>
      <c r="BB15" s="13">
        <f t="shared" si="17"/>
        <v>958.05126983455455</v>
      </c>
      <c r="BC15" s="13">
        <f t="shared" si="17"/>
        <v>798.56203310261662</v>
      </c>
      <c r="BD15" s="13">
        <f t="shared" si="17"/>
        <v>900.24086146832371</v>
      </c>
      <c r="BE15" s="13">
        <f t="shared" si="17"/>
        <v>923.98410207447216</v>
      </c>
      <c r="BH15" s="28">
        <v>0.66666666666666663</v>
      </c>
      <c r="BI15" s="30">
        <f>AE15*100/AE$39</f>
        <v>23.49060413244359</v>
      </c>
      <c r="BJ15" s="30">
        <f>AF15*100/AF$39</f>
        <v>24.851808394762781</v>
      </c>
      <c r="BK15" s="30">
        <f>AG15*100/AG$39</f>
        <v>26.001895646198022</v>
      </c>
      <c r="BL15" s="30">
        <f>AH15*100/AH$39</f>
        <v>20.214555984747676</v>
      </c>
      <c r="BM15" s="30">
        <f>AI15*100/AI$39</f>
        <v>20.481115742917307</v>
      </c>
      <c r="BN15" s="30">
        <f>AJ15*100/AJ$39</f>
        <v>21.287384794809146</v>
      </c>
      <c r="BO15" s="30">
        <f>AK15*100/AK$39</f>
        <v>26.34485681039407</v>
      </c>
      <c r="BP15" s="30">
        <f>AL15*100/AL$39</f>
        <v>26.166337646368753</v>
      </c>
      <c r="BQ15" s="30">
        <f>AM15*100/AM$39</f>
        <v>26.285097338013639</v>
      </c>
      <c r="BR15" s="30">
        <f>AN15*100/AN$39</f>
        <v>29.131084581030137</v>
      </c>
      <c r="BS15" s="30">
        <f>AO15*100/AO$39</f>
        <v>27.425682008987099</v>
      </c>
      <c r="BT15" s="30">
        <f>AP15*100/AP$39</f>
        <v>25.938355363556234</v>
      </c>
      <c r="BU15" s="30">
        <f>AQ15*100/AQ$39</f>
        <v>0</v>
      </c>
      <c r="BV15" s="30">
        <f>AR15*100/AR$39</f>
        <v>28.098940280665808</v>
      </c>
      <c r="BW15" s="30">
        <f>AS15*100/AS$39</f>
        <v>28.293370461685207</v>
      </c>
      <c r="BX15" s="30">
        <f>AT15*100/AT$39</f>
        <v>21.971028983492328</v>
      </c>
      <c r="BY15" s="30">
        <f t="shared" si="13"/>
        <v>20.639107968791699</v>
      </c>
      <c r="BZ15" s="30">
        <f t="shared" si="13"/>
        <v>20.549296295774127</v>
      </c>
      <c r="CA15" s="30">
        <f t="shared" si="13"/>
        <v>18.785811269723311</v>
      </c>
      <c r="CB15" s="30">
        <f t="shared" si="13"/>
        <v>18.266440484721493</v>
      </c>
      <c r="CC15" s="30">
        <f t="shared" si="13"/>
        <v>19.216360163028465</v>
      </c>
      <c r="CD15" s="30">
        <f t="shared" si="13"/>
        <v>23.040864044916848</v>
      </c>
      <c r="CE15" s="30">
        <f t="shared" si="13"/>
        <v>22.15386280668109</v>
      </c>
      <c r="CF15" s="30">
        <f t="shared" si="13"/>
        <v>23.15763684552504</v>
      </c>
      <c r="CG15" s="30">
        <f t="shared" si="13"/>
        <v>22.390694685461447</v>
      </c>
      <c r="CH15" s="30">
        <f>BD15*100/BD$39</f>
        <v>21.525961827907832</v>
      </c>
      <c r="CI15" s="30">
        <f t="shared" si="14"/>
        <v>21.62080025473437</v>
      </c>
      <c r="CP15" s="36"/>
      <c r="CQ15" s="36"/>
      <c r="CR15" s="36"/>
      <c r="CS15" s="37"/>
      <c r="CT15" s="37"/>
      <c r="CU15" s="37"/>
    </row>
    <row r="16" spans="1:114" ht="15" x14ac:dyDescent="0.25">
      <c r="A16" s="81" t="s">
        <v>43</v>
      </c>
      <c r="B16" s="67">
        <v>0</v>
      </c>
      <c r="C16" s="67">
        <v>0</v>
      </c>
      <c r="D16" s="67">
        <v>0</v>
      </c>
      <c r="E16" s="67">
        <v>547.90689999999995</v>
      </c>
      <c r="F16" s="67">
        <v>702.75609999999995</v>
      </c>
      <c r="G16" s="67">
        <v>575.58180000000004</v>
      </c>
      <c r="H16" s="67">
        <v>1128.6031</v>
      </c>
      <c r="I16" s="67">
        <v>1171.4453000000001</v>
      </c>
      <c r="J16" s="67">
        <v>1073.7979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 t="s">
        <v>154</v>
      </c>
      <c r="S16" s="67" t="s">
        <v>155</v>
      </c>
      <c r="T16" s="67" t="s">
        <v>156</v>
      </c>
      <c r="U16" s="67" t="s">
        <v>157</v>
      </c>
      <c r="V16" s="67" t="s">
        <v>158</v>
      </c>
      <c r="W16" s="67" t="s">
        <v>159</v>
      </c>
      <c r="X16" s="67" t="s">
        <v>160</v>
      </c>
      <c r="Y16" s="67" t="s">
        <v>161</v>
      </c>
      <c r="Z16" s="67" t="s">
        <v>162</v>
      </c>
      <c r="AA16" s="67" t="s">
        <v>163</v>
      </c>
      <c r="AB16" s="67" t="s">
        <v>164</v>
      </c>
      <c r="AC16" s="68"/>
      <c r="AD16" s="33"/>
      <c r="BH16" s="85" t="s">
        <v>79</v>
      </c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P16" s="36"/>
      <c r="CQ16" s="36"/>
      <c r="CR16" s="36"/>
      <c r="CS16" s="37"/>
      <c r="CT16" s="37"/>
      <c r="CU16" s="37"/>
    </row>
    <row r="17" spans="1:101" ht="15" x14ac:dyDescent="0.25">
      <c r="A17" s="81" t="s">
        <v>58</v>
      </c>
      <c r="B17" s="67">
        <v>825.91</v>
      </c>
      <c r="C17" s="67">
        <v>1266.2174</v>
      </c>
      <c r="D17" s="67">
        <v>1257.2293999999999</v>
      </c>
      <c r="E17" s="67">
        <v>704.75850000000003</v>
      </c>
      <c r="F17" s="67">
        <v>849.25850000000003</v>
      </c>
      <c r="G17" s="67">
        <v>789.74950000000001</v>
      </c>
      <c r="H17" s="67">
        <v>1764.1494</v>
      </c>
      <c r="I17" s="67">
        <v>2069.4594999999999</v>
      </c>
      <c r="J17" s="67">
        <v>1841.5922</v>
      </c>
      <c r="K17" s="67">
        <v>0</v>
      </c>
      <c r="L17" s="67" t="s">
        <v>165</v>
      </c>
      <c r="M17" s="67" t="s">
        <v>166</v>
      </c>
      <c r="N17" s="67">
        <v>0</v>
      </c>
      <c r="O17" s="67">
        <v>0</v>
      </c>
      <c r="P17" s="67">
        <v>0</v>
      </c>
      <c r="Q17" s="67">
        <v>0</v>
      </c>
      <c r="R17" s="67" t="s">
        <v>167</v>
      </c>
      <c r="S17" s="67" t="s">
        <v>168</v>
      </c>
      <c r="T17" s="67" t="s">
        <v>169</v>
      </c>
      <c r="U17" s="67" t="s">
        <v>170</v>
      </c>
      <c r="V17" s="67" t="s">
        <v>171</v>
      </c>
      <c r="W17" s="67" t="s">
        <v>172</v>
      </c>
      <c r="X17" s="67" t="s">
        <v>173</v>
      </c>
      <c r="Y17" s="67" t="s">
        <v>174</v>
      </c>
      <c r="Z17" s="67" t="s">
        <v>175</v>
      </c>
      <c r="AA17" s="67" t="s">
        <v>176</v>
      </c>
      <c r="AB17" s="67" t="s">
        <v>177</v>
      </c>
      <c r="AC17" s="68"/>
      <c r="AD17" s="33" t="s">
        <v>15</v>
      </c>
      <c r="AE17" s="13">
        <f>((B$17/B$13)*$E$3)/254.4*(1/AE$4*1000)/3</f>
        <v>22.523684729538516</v>
      </c>
      <c r="AF17" s="13">
        <f>((C$17/C$13)*$E$3)/254.4*(1/AF$4*1000)/3</f>
        <v>22.241096075743538</v>
      </c>
      <c r="AG17" s="13">
        <f>((D$17/D$13)*$E$3)/254.4*(1/AG$4*1000)/3</f>
        <v>22.224446731123564</v>
      </c>
      <c r="AH17" s="13">
        <f>((E$17/E$13)*$E$3)/254.4*(1/AH$4*1000)/3</f>
        <v>50.922425951401557</v>
      </c>
      <c r="AI17" s="13">
        <f>((F$17/F$13)*$E$3)/254.4*(1/AI$4*1000)/3</f>
        <v>56.459425448807373</v>
      </c>
      <c r="AJ17" s="13">
        <f>((G$17/G$13)*$E$3)/254.4*(1/AJ$4*1000)/3</f>
        <v>53.269240894835384</v>
      </c>
      <c r="AK17" s="13">
        <f>((H$17/H$13)*$E$3)/254.4*(1/AK$4*1000)/3</f>
        <v>117.2194505533937</v>
      </c>
      <c r="AL17" s="13">
        <f>((I$17/I$13)*$E$3)/254.4*(1/AL$4*1000)/3</f>
        <v>132.4700040895157</v>
      </c>
      <c r="AM17" s="13">
        <f>((J$17/J$13)*$E$3)/254.4*(1/AM$4*1000)/3</f>
        <v>130.78730666613757</v>
      </c>
      <c r="AN17" s="13">
        <f>((K$17/K$13)*$E$3)/254.4*(1/AN$4*1000)/3</f>
        <v>0</v>
      </c>
      <c r="AO17" s="13">
        <f>((L$17/L$13)*$E$3)/254.4*(1/AO$4*1000)/3</f>
        <v>5.6135199370367532</v>
      </c>
      <c r="AP17" s="13">
        <f>((M$17/M$13)*$E$3)/254.4*(1/AP$4*1000)/3</f>
        <v>14.080355302101745</v>
      </c>
      <c r="AQ17" s="13">
        <f>((N$17/N$13)*$E$3)/254.4*(1/AQ$4*1000)/3</f>
        <v>0</v>
      </c>
      <c r="AR17" s="13">
        <f>((O$17/O$13)*$E$3)/254.4*(1/AR$4*1000)/3</f>
        <v>0</v>
      </c>
      <c r="AS17" s="13">
        <f>((P$17/P$13)*$E$3)/254.4*(1/AS$4*1000)/3</f>
        <v>0</v>
      </c>
      <c r="AT17" s="13">
        <f>((Q$17/Q$13)*$E$3)/254.4*(1/AT$4*1000)/3</f>
        <v>0</v>
      </c>
      <c r="AU17" s="13">
        <f t="shared" ref="AU17:BE17" si="18">((R$17/R$13)*$E$3)/254.4*(1/AU$4*1000)/3</f>
        <v>43.133223746159565</v>
      </c>
      <c r="AV17" s="13">
        <f t="shared" si="18"/>
        <v>48.354619714988104</v>
      </c>
      <c r="AW17" s="13">
        <f t="shared" si="18"/>
        <v>73.775999299147983</v>
      </c>
      <c r="AX17" s="13">
        <f t="shared" si="18"/>
        <v>57.453022192656896</v>
      </c>
      <c r="AY17" s="13">
        <f t="shared" si="18"/>
        <v>44.190197076186053</v>
      </c>
      <c r="AZ17" s="13">
        <f t="shared" si="18"/>
        <v>98.87930046814455</v>
      </c>
      <c r="BA17" s="13">
        <f t="shared" si="18"/>
        <v>144.00914685786313</v>
      </c>
      <c r="BB17" s="13">
        <f t="shared" si="18"/>
        <v>133.65612176759512</v>
      </c>
      <c r="BC17" s="13">
        <f t="shared" si="18"/>
        <v>115.43894346840817</v>
      </c>
      <c r="BD17" s="13">
        <f t="shared" si="18"/>
        <v>126.24771093658684</v>
      </c>
      <c r="BE17" s="13">
        <f t="shared" si="18"/>
        <v>131.72777188876151</v>
      </c>
      <c r="BH17" s="28">
        <v>0.66736111111111107</v>
      </c>
      <c r="BI17" s="30">
        <f>AE17*100/AE$39</f>
        <v>13.513359021796241</v>
      </c>
      <c r="BJ17" s="30">
        <f>AF17*100/AF$39</f>
        <v>15.527830381761463</v>
      </c>
      <c r="BK17" s="30">
        <f>AG17*100/AG$39</f>
        <v>14.894178064118535</v>
      </c>
      <c r="BL17" s="30">
        <f>AH17*100/AH$39</f>
        <v>6.503906316311137</v>
      </c>
      <c r="BM17" s="30">
        <f>AI17*100/AI$39</f>
        <v>6.5066511028307001</v>
      </c>
      <c r="BN17" s="30">
        <f>AJ17*100/AJ$39</f>
        <v>6.3232614647468948</v>
      </c>
      <c r="BO17" s="30">
        <f>AK17*100/AK$39</f>
        <v>3.8966625011561464</v>
      </c>
      <c r="BP17" s="30">
        <f>AL17*100/AL$39</f>
        <v>3.814942982921631</v>
      </c>
      <c r="BQ17" s="30">
        <f>AM17*100/AM$39</f>
        <v>3.6311973485316975</v>
      </c>
      <c r="BR17" s="30">
        <f>AN17*100/AN$39</f>
        <v>0</v>
      </c>
      <c r="BS17" s="30">
        <f>AO17*100/AO$39</f>
        <v>5.6654723195771561</v>
      </c>
      <c r="BT17" s="30">
        <f>AP17*100/AP$39</f>
        <v>12.727450644026414</v>
      </c>
      <c r="BU17" s="30">
        <f>AQ17*100/AQ$39</f>
        <v>0</v>
      </c>
      <c r="BV17" s="30">
        <f>AR17*100/AR$39</f>
        <v>0</v>
      </c>
      <c r="BW17" s="30">
        <f>AS17*100/AS$39</f>
        <v>0</v>
      </c>
      <c r="BX17" s="30">
        <f>AT17*100/AT$39</f>
        <v>0</v>
      </c>
      <c r="BY17" s="30">
        <f t="shared" ref="BY17:CG18" si="19">AU17*100/AU$39</f>
        <v>5.0919167717812037</v>
      </c>
      <c r="BZ17" s="30">
        <f t="shared" si="19"/>
        <v>5.4933642297799725</v>
      </c>
      <c r="CA17" s="30">
        <f t="shared" si="19"/>
        <v>7.7280097337031464</v>
      </c>
      <c r="CB17" s="30">
        <f t="shared" si="19"/>
        <v>5.5160669143611196</v>
      </c>
      <c r="CC17" s="30">
        <f t="shared" si="19"/>
        <v>4.0570196874102171</v>
      </c>
      <c r="CD17" s="30">
        <f t="shared" si="19"/>
        <v>2.8617065652383236</v>
      </c>
      <c r="CE17" s="30">
        <f t="shared" si="19"/>
        <v>3.6677487198019056</v>
      </c>
      <c r="CF17" s="30">
        <f t="shared" si="19"/>
        <v>3.2306829785943965</v>
      </c>
      <c r="CG17" s="30">
        <f t="shared" si="19"/>
        <v>3.2367656247955194</v>
      </c>
      <c r="CH17" s="30">
        <f>BD17*100/BD$39</f>
        <v>3.0187514506386726</v>
      </c>
      <c r="CI17" s="30">
        <f t="shared" ref="CI17:CI18" si="20">BE17*100/BE$39</f>
        <v>3.082368882336652</v>
      </c>
      <c r="CP17" s="36"/>
      <c r="CQ17" s="36"/>
      <c r="CR17" s="36"/>
      <c r="CS17" s="37"/>
      <c r="CT17" s="37"/>
      <c r="CU17" s="37"/>
    </row>
    <row r="18" spans="1:101" ht="15" x14ac:dyDescent="0.25">
      <c r="A18" s="81" t="s">
        <v>44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5"/>
      <c r="AD18" s="28">
        <v>0.70833333333333337</v>
      </c>
      <c r="AE18" s="13">
        <f>((B$18/B$13)*$E$3)/270.4*(1/AE$4*1000)/3</f>
        <v>0</v>
      </c>
      <c r="AF18" s="13">
        <f>((C$18/C$13)*$E$3)/270.4*(1/AF$4*1000)/3</f>
        <v>0</v>
      </c>
      <c r="AG18" s="13">
        <f>((D$18/D$13)*$E$3)/270.4*(1/AG$4*1000)/3</f>
        <v>0</v>
      </c>
      <c r="AH18" s="13">
        <f>((E$18/E$13)*$E$3)/270.4*(1/AH$4*1000)/3</f>
        <v>0</v>
      </c>
      <c r="AI18" s="13">
        <f>((F$18/F$13)*$E$3)/270.4*(1/AI$4*1000)/3</f>
        <v>0</v>
      </c>
      <c r="AJ18" s="13">
        <f>((G$18/G$13)*$E$3)/270.4*(1/AJ$4*1000)/3</f>
        <v>0</v>
      </c>
      <c r="AK18" s="13">
        <f>((H$18/H$13)*$E$3)/270.4*(1/AK$4*1000)/3</f>
        <v>0</v>
      </c>
      <c r="AL18" s="13">
        <f>((I$18/I$13)*$E$3)/270.4*(1/AL$4*1000)/3</f>
        <v>0</v>
      </c>
      <c r="AM18" s="13">
        <f>((J$18/J$13)*$E$3)/270.4*(1/AM$4*1000)/3</f>
        <v>0</v>
      </c>
      <c r="AN18" s="13">
        <f>((K$18/K$13)*$E$3)/270.4*(1/AN$4*1000)/3</f>
        <v>0</v>
      </c>
      <c r="AO18" s="13">
        <f>((L$18/L$13)*$E$3)/270.4*(1/AO$4*1000)/3</f>
        <v>0</v>
      </c>
      <c r="AP18" s="13">
        <f>((M$18/M$13)*$E$3)/270.4*(1/AP$4*1000)/3</f>
        <v>0</v>
      </c>
      <c r="AQ18" s="13">
        <f>((N$18/N$13)*$E$3)/270.4*(1/AQ$4*1000)/3</f>
        <v>0</v>
      </c>
      <c r="AR18" s="13">
        <f>((O$18/O$13)*$E$3)/270.4*(1/AR$4*1000)/3</f>
        <v>0</v>
      </c>
      <c r="AS18" s="13">
        <f>((P$18/P$13)*$E$3)/270.4*(1/AS$4*1000)/3</f>
        <v>0</v>
      </c>
      <c r="AT18" s="13">
        <f>((Q$18/Q$13)*$E$3)/270.4*(1/AT$4*1000)/3</f>
        <v>0</v>
      </c>
      <c r="AU18" s="13">
        <f t="shared" ref="AU18:BE18" si="21">((R$18/R$13)*$E$3)/270.4*(1/AU$4*1000)/3</f>
        <v>0</v>
      </c>
      <c r="AV18" s="13">
        <f t="shared" si="21"/>
        <v>0</v>
      </c>
      <c r="AW18" s="13">
        <f t="shared" si="21"/>
        <v>0</v>
      </c>
      <c r="AX18" s="13">
        <f t="shared" si="21"/>
        <v>0</v>
      </c>
      <c r="AY18" s="13">
        <f t="shared" si="21"/>
        <v>0</v>
      </c>
      <c r="AZ18" s="13">
        <f t="shared" si="21"/>
        <v>0</v>
      </c>
      <c r="BA18" s="13">
        <f t="shared" si="21"/>
        <v>0</v>
      </c>
      <c r="BB18" s="13">
        <f t="shared" si="21"/>
        <v>0</v>
      </c>
      <c r="BC18" s="13">
        <f t="shared" si="21"/>
        <v>0</v>
      </c>
      <c r="BD18" s="13">
        <f t="shared" si="21"/>
        <v>0</v>
      </c>
      <c r="BE18" s="13">
        <f t="shared" si="21"/>
        <v>0</v>
      </c>
      <c r="BH18" s="28">
        <v>0.70833333333333337</v>
      </c>
      <c r="BI18" s="30">
        <f>AE18*100/AE$39</f>
        <v>0</v>
      </c>
      <c r="BJ18" s="30">
        <f>AF18*100/AF$39</f>
        <v>0</v>
      </c>
      <c r="BK18" s="30">
        <f>AG18*100/AG$39</f>
        <v>0</v>
      </c>
      <c r="BL18" s="30">
        <f>AH18*100/AH$39</f>
        <v>0</v>
      </c>
      <c r="BM18" s="30">
        <f>AI18*100/AI$39</f>
        <v>0</v>
      </c>
      <c r="BN18" s="30">
        <f>AJ18*100/AJ$39</f>
        <v>0</v>
      </c>
      <c r="BO18" s="30">
        <f>AK18*100/AK$39</f>
        <v>0</v>
      </c>
      <c r="BP18" s="30">
        <f>AL18*100/AL$39</f>
        <v>0</v>
      </c>
      <c r="BQ18" s="30">
        <f>AM18*100/AM$39</f>
        <v>0</v>
      </c>
      <c r="BR18" s="30">
        <f>AN18*100/AN$39</f>
        <v>0</v>
      </c>
      <c r="BS18" s="30">
        <f>AO18*100/AO$39</f>
        <v>0</v>
      </c>
      <c r="BT18" s="30">
        <f>AP18*100/AP$39</f>
        <v>0</v>
      </c>
      <c r="BU18" s="30">
        <f>AQ18*100/AQ$39</f>
        <v>0</v>
      </c>
      <c r="BV18" s="30">
        <f>AR18*100/AR$39</f>
        <v>0</v>
      </c>
      <c r="BW18" s="30">
        <f>AS18*100/AS$39</f>
        <v>0</v>
      </c>
      <c r="BX18" s="30">
        <f>AT18*100/AT$39</f>
        <v>0</v>
      </c>
      <c r="BY18" s="30">
        <f t="shared" si="19"/>
        <v>0</v>
      </c>
      <c r="BZ18" s="30">
        <f t="shared" si="19"/>
        <v>0</v>
      </c>
      <c r="CA18" s="30">
        <f t="shared" si="19"/>
        <v>0</v>
      </c>
      <c r="CB18" s="30">
        <f t="shared" si="19"/>
        <v>0</v>
      </c>
      <c r="CC18" s="30">
        <f t="shared" si="19"/>
        <v>0</v>
      </c>
      <c r="CD18" s="30">
        <f t="shared" si="19"/>
        <v>0</v>
      </c>
      <c r="CE18" s="30">
        <f t="shared" si="19"/>
        <v>0</v>
      </c>
      <c r="CF18" s="30">
        <f t="shared" si="19"/>
        <v>0</v>
      </c>
      <c r="CG18" s="30">
        <f t="shared" si="19"/>
        <v>0</v>
      </c>
      <c r="CH18" s="30">
        <f>BD18*100/BD$39</f>
        <v>0</v>
      </c>
      <c r="CI18" s="30">
        <f t="shared" si="20"/>
        <v>0</v>
      </c>
    </row>
    <row r="19" spans="1:101" ht="15" x14ac:dyDescent="0.25">
      <c r="A19" s="81" t="s">
        <v>59</v>
      </c>
      <c r="B19" s="67">
        <v>0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/>
      <c r="BH19" s="28">
        <v>0.7090277777777777</v>
      </c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P19" s="37"/>
      <c r="CQ19" s="37"/>
      <c r="CR19" s="37"/>
      <c r="CS19" s="37"/>
      <c r="CT19" s="37"/>
      <c r="CU19" s="37"/>
    </row>
    <row r="20" spans="1:101" s="37" customFormat="1" ht="15" x14ac:dyDescent="0.25">
      <c r="A20" s="82" t="s">
        <v>51</v>
      </c>
      <c r="B20" s="67">
        <v>571.27210000000002</v>
      </c>
      <c r="C20" s="67">
        <v>498.23399999999998</v>
      </c>
      <c r="D20" s="67">
        <v>559.09789999999998</v>
      </c>
      <c r="E20" s="67">
        <v>238.82759999999999</v>
      </c>
      <c r="F20" s="67">
        <v>357.48099999999999</v>
      </c>
      <c r="G20" s="67">
        <v>397.30020000000002</v>
      </c>
      <c r="H20" s="67">
        <v>638.10410000000002</v>
      </c>
      <c r="I20" s="67">
        <v>796.32619999999997</v>
      </c>
      <c r="J20" s="67">
        <v>773.78369999999995</v>
      </c>
      <c r="K20" s="67">
        <v>0</v>
      </c>
      <c r="L20" s="67" t="s">
        <v>178</v>
      </c>
      <c r="M20" s="67" t="s">
        <v>179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 t="s">
        <v>180</v>
      </c>
      <c r="X20" s="67" t="s">
        <v>181</v>
      </c>
      <c r="Y20" s="67" t="s">
        <v>182</v>
      </c>
      <c r="Z20" s="67" t="s">
        <v>183</v>
      </c>
      <c r="AA20" s="67" t="s">
        <v>184</v>
      </c>
      <c r="AB20" s="67" t="s">
        <v>185</v>
      </c>
      <c r="AC20" s="68"/>
      <c r="AD20" s="40" t="s">
        <v>16</v>
      </c>
      <c r="AE20" s="37">
        <f>((B$20/B$13)*$E$3)/284.4*(1/AE$4*1000)/3</f>
        <v>13.93597133972443</v>
      </c>
      <c r="AF20" s="37">
        <f>((C$20/C$13)*$E$3)/284.4*(1/AF$4*1000)/3</f>
        <v>7.8283238699695827</v>
      </c>
      <c r="AG20" s="37">
        <f>((D$20/D$13)*$E$3)/284.4*(1/AG$4*1000)/3</f>
        <v>8.8408048835290618</v>
      </c>
      <c r="AH20" s="37">
        <f>((E$20/E$13)*$E$3)/284.4*(1/AH$4*1000)/3</f>
        <v>15.436214046581469</v>
      </c>
      <c r="AI20" s="37">
        <f>((F$20/F$13)*$E$3)/284.4*(1/AI$4*1000)/3</f>
        <v>21.258716045137522</v>
      </c>
      <c r="AJ20" s="37">
        <f>((G$20/G$13)*$E$3)/284.4*(1/AJ$4*1000)/3</f>
        <v>23.971402655708044</v>
      </c>
      <c r="AK20" s="37">
        <f>((H$20/H$13)*$E$3)/284.4*(1/AK$4*1000)/3</f>
        <v>37.926552732460117</v>
      </c>
      <c r="AL20" s="37">
        <f>((I$20/I$13)*$E$3)/284.4*(1/AL$4*1000)/3</f>
        <v>45.59730112648672</v>
      </c>
      <c r="AM20" s="37">
        <f>((J$20/J$13)*$E$3)/284.4*(1/AM$4*1000)/3</f>
        <v>49.156303993952207</v>
      </c>
      <c r="AN20" s="37">
        <f>((K$20/K$13)*$E$3)/284.4*(1/AN$4*1000)/3</f>
        <v>0</v>
      </c>
      <c r="AO20" s="37">
        <f>((L$20/L$13)*$E$3)/284.4*(1/AO$4*1000)/3</f>
        <v>9.5721545433449222</v>
      </c>
      <c r="AP20" s="37">
        <f>((M$20/M$13)*$E$3)/284.4*(1/AP$4*1000)/3</f>
        <v>10.056751663679169</v>
      </c>
      <c r="AQ20" s="37">
        <f>((N$20/N$13)*$E$3)/284.4*(1/AQ$4*1000)/3</f>
        <v>0</v>
      </c>
      <c r="AR20" s="37">
        <f>((O$20/O$13)*$E$3)/284.4*(1/AR$4*1000)/3</f>
        <v>0</v>
      </c>
      <c r="AS20" s="37">
        <f>((P$20/P$13)*$E$3)/284.4*(1/AS$4*1000)/3</f>
        <v>0</v>
      </c>
      <c r="AT20" s="37">
        <f>((Q$20/Q$13)*$E$3)/284.4*(1/AT$4*1000)/3</f>
        <v>0</v>
      </c>
      <c r="AU20" s="37">
        <f t="shared" ref="AU20:BE20" si="22">((R$20/R$13)*$E$3)/284.4*(1/AU$4*1000)/3</f>
        <v>0</v>
      </c>
      <c r="AV20" s="37">
        <f t="shared" si="22"/>
        <v>0</v>
      </c>
      <c r="AW20" s="37">
        <f t="shared" si="22"/>
        <v>0</v>
      </c>
      <c r="AX20" s="37">
        <f t="shared" si="22"/>
        <v>0</v>
      </c>
      <c r="AY20" s="37">
        <f t="shared" si="22"/>
        <v>0</v>
      </c>
      <c r="AZ20" s="37">
        <f t="shared" si="22"/>
        <v>94.480902012546082</v>
      </c>
      <c r="BA20" s="37">
        <f t="shared" si="22"/>
        <v>109.4510567966168</v>
      </c>
      <c r="BB20" s="37">
        <f t="shared" si="22"/>
        <v>114.90047249227439</v>
      </c>
      <c r="BC20" s="37">
        <f t="shared" si="22"/>
        <v>85.602953946884625</v>
      </c>
      <c r="BD20" s="37">
        <f t="shared" si="22"/>
        <v>100.96795060444072</v>
      </c>
      <c r="BE20" s="37">
        <f t="shared" si="22"/>
        <v>103.23524170022893</v>
      </c>
      <c r="BH20" s="57">
        <v>0.75</v>
      </c>
      <c r="BI20" s="30">
        <f>AE20*100/AE$39</f>
        <v>8.3610557638549157</v>
      </c>
      <c r="BJ20" s="30">
        <f>AF20*100/AF$39</f>
        <v>5.4654179278040997</v>
      </c>
      <c r="BK20" s="30">
        <f>AG20*100/AG$39</f>
        <v>5.9248504027327762</v>
      </c>
      <c r="BL20" s="30">
        <f>AH20*100/AH$39</f>
        <v>1.9715417748028301</v>
      </c>
      <c r="BM20" s="30">
        <f>AI20*100/AI$39</f>
        <v>2.4499549384412065</v>
      </c>
      <c r="BN20" s="30">
        <f>AJ20*100/AJ$39</f>
        <v>2.8454966528998527</v>
      </c>
      <c r="BO20" s="30">
        <f>AK20*100/AK$39</f>
        <v>1.2607717843156181</v>
      </c>
      <c r="BP20" s="30">
        <f>AL20*100/AL$39</f>
        <v>1.3131357937839938</v>
      </c>
      <c r="BQ20" s="30">
        <f>AM20*100/AM$39</f>
        <v>1.3647826021993632</v>
      </c>
      <c r="BR20" s="30">
        <f>AN20*100/AN$39</f>
        <v>0</v>
      </c>
      <c r="BS20" s="30">
        <f>AO20*100/AO$39</f>
        <v>9.660743564164223</v>
      </c>
      <c r="BT20" s="30">
        <f>AP20*100/AP$39</f>
        <v>9.0904531663062027</v>
      </c>
      <c r="BU20" s="30">
        <f>AQ20*100/AQ$39</f>
        <v>0</v>
      </c>
      <c r="BV20" s="30">
        <f>AR20*100/AR$39</f>
        <v>0</v>
      </c>
      <c r="BW20" s="30">
        <f>AS20*100/AS$39</f>
        <v>0</v>
      </c>
      <c r="BX20" s="30">
        <f t="shared" ref="BX20:BX35" si="23">AT20*100/AT$39</f>
        <v>0</v>
      </c>
      <c r="BY20" s="30">
        <f t="shared" ref="BY20:BY35" si="24">AU20*100/AU$39</f>
        <v>0</v>
      </c>
      <c r="BZ20" s="30">
        <f t="shared" ref="BZ20:BZ35" si="25">AV20*100/AV$39</f>
        <v>0</v>
      </c>
      <c r="CA20" s="30">
        <f t="shared" ref="CA20:CA35" si="26">AW20*100/AW$39</f>
        <v>0</v>
      </c>
      <c r="CB20" s="30">
        <f t="shared" ref="CB20:CB35" si="27">AX20*100/AX$39</f>
        <v>0</v>
      </c>
      <c r="CC20" s="30">
        <f t="shared" ref="CC20:CC35" si="28">AY20*100/AY$39</f>
        <v>0</v>
      </c>
      <c r="CD20" s="30">
        <f t="shared" ref="CD20:CD35" si="29">AZ20*100/AZ$39</f>
        <v>2.7344107037452972</v>
      </c>
      <c r="CE20" s="30">
        <f t="shared" ref="CE20:CE35" si="30">BA20*100/BA$39</f>
        <v>2.7875935814200519</v>
      </c>
      <c r="CF20" s="30">
        <f t="shared" ref="CF20:CF35" si="31">BB20*100/BB$39</f>
        <v>2.7773288331581942</v>
      </c>
      <c r="CG20" s="30">
        <f t="shared" ref="CG20:CG35" si="32">BC20*100/BC$39</f>
        <v>2.4002012699644717</v>
      </c>
      <c r="CH20" s="30">
        <f t="shared" ref="CH20:CH35" si="33">BD20*100/BD$39</f>
        <v>2.4142786042930022</v>
      </c>
      <c r="CI20" s="30">
        <f t="shared" ref="CI20:CI35" si="34">BE20*100/BE$39</f>
        <v>2.4156568657822799</v>
      </c>
      <c r="CV20" s="13"/>
      <c r="CW20" s="13"/>
    </row>
    <row r="21" spans="1:101" ht="15" x14ac:dyDescent="0.25">
      <c r="A21" s="81" t="s">
        <v>60</v>
      </c>
      <c r="B21" s="67">
        <v>2287.0949999999998</v>
      </c>
      <c r="C21" s="67">
        <v>2989.9719</v>
      </c>
      <c r="D21" s="67">
        <v>3119.6498999999999</v>
      </c>
      <c r="E21" s="67">
        <v>7172.1655000000001</v>
      </c>
      <c r="F21" s="67">
        <v>8209.4315999999999</v>
      </c>
      <c r="G21" s="67">
        <v>7676.1016</v>
      </c>
      <c r="H21" s="67">
        <v>25985.738300000001</v>
      </c>
      <c r="I21" s="67">
        <v>30956.146499999999</v>
      </c>
      <c r="J21" s="67">
        <v>29130.1348</v>
      </c>
      <c r="K21" s="67" t="s">
        <v>186</v>
      </c>
      <c r="L21" s="67" t="s">
        <v>187</v>
      </c>
      <c r="M21" s="67" t="s">
        <v>188</v>
      </c>
      <c r="N21" s="67" t="s">
        <v>189</v>
      </c>
      <c r="O21" s="67" t="s">
        <v>190</v>
      </c>
      <c r="P21" s="67" t="s">
        <v>191</v>
      </c>
      <c r="Q21" s="67" t="s">
        <v>192</v>
      </c>
      <c r="R21" s="67" t="s">
        <v>193</v>
      </c>
      <c r="S21" s="67" t="s">
        <v>194</v>
      </c>
      <c r="T21" s="67" t="s">
        <v>195</v>
      </c>
      <c r="U21" s="67" t="s">
        <v>196</v>
      </c>
      <c r="V21" s="67" t="s">
        <v>197</v>
      </c>
      <c r="W21" s="67" t="s">
        <v>198</v>
      </c>
      <c r="X21" s="67" t="s">
        <v>199</v>
      </c>
      <c r="Y21" s="67" t="s">
        <v>200</v>
      </c>
      <c r="Z21" s="67" t="s">
        <v>201</v>
      </c>
      <c r="AA21" s="67" t="s">
        <v>202</v>
      </c>
      <c r="AB21" s="67" t="s">
        <v>203</v>
      </c>
      <c r="AC21" s="68"/>
      <c r="AD21" s="33" t="s">
        <v>17</v>
      </c>
      <c r="AE21" s="13">
        <f>((B$21/B$13)*$E$3)/282.4*(1/AE$4*1000)/3</f>
        <v>56.187969019624212</v>
      </c>
      <c r="AF21" s="13">
        <f>((C$21/C$13)*$E$3)/282.4*(1/AF$4*1000)/3</f>
        <v>47.31157766245736</v>
      </c>
      <c r="AG21" s="13">
        <f>((D$21/D$13)*$E$3)/282.4*(1/AG$4*1000)/3</f>
        <v>49.679212495887377</v>
      </c>
      <c r="AH21" s="13">
        <f>((E$21/E$13)*$E$3)/282.4*(1/AH$4*1000)/3</f>
        <v>466.84367574367002</v>
      </c>
      <c r="AI21" s="13">
        <f>((F$21/F$13)*$E$3)/282.4*(1/AI$4*1000)/3</f>
        <v>491.6568058238031</v>
      </c>
      <c r="AJ21" s="13">
        <f>((G$21/G$13)*$E$3)/282.4*(1/AJ$4*1000)/3</f>
        <v>466.42334298265519</v>
      </c>
      <c r="AK21" s="13">
        <f>((H$21/H$13)*$E$3)/282.4*(1/AK$4*1000)/3</f>
        <v>1555.4347418628884</v>
      </c>
      <c r="AL21" s="13">
        <f>((I$21/I$13)*$E$3)/282.4*(1/AL$4*1000)/3</f>
        <v>1785.0892148344544</v>
      </c>
      <c r="AM21" s="13">
        <f>((J$21/J$13)*$E$3)/282.4*(1/AM$4*1000)/3</f>
        <v>1863.6615209574709</v>
      </c>
      <c r="AN21" s="13">
        <f>((K$21/K$13)*$E$3)/282.4*(1/AN$4*1000)/3</f>
        <v>30.674303608767321</v>
      </c>
      <c r="AO21" s="13">
        <f>((L$21/L$13)*$E$3)/282.4*(1/AO$4*1000)/3</f>
        <v>44.724094710102065</v>
      </c>
      <c r="AP21" s="13">
        <f>((M$21/M$13)*$E$3)/282.4*(1/AP$4*1000)/3</f>
        <v>45.325224186170146</v>
      </c>
      <c r="AQ21" s="13">
        <f>((N$21/N$13)*$E$3)/282.4*(1/AQ$4*1000)/3</f>
        <v>24.399747181201775</v>
      </c>
      <c r="AR21" s="13">
        <f>((O$21/O$13)*$E$3)/282.4*(1/AR$4*1000)/3</f>
        <v>24.608766395013561</v>
      </c>
      <c r="AS21" s="13">
        <f>((P$21/P$13)*$E$3)/282.4*(1/AS$4*1000)/3</f>
        <v>19.494210391131222</v>
      </c>
      <c r="AT21" s="13">
        <f>((Q$21/Q$13)*$E$3)/282.4*(1/AT$4*1000)/3</f>
        <v>452.61688653468173</v>
      </c>
      <c r="AU21" s="13">
        <f t="shared" ref="AU21:BE21" si="35">((R$21/R$13)*$E$3)/282.4*(1/AU$4*1000)/3</f>
        <v>556.86061990976418</v>
      </c>
      <c r="AV21" s="13">
        <f t="shared" si="35"/>
        <v>582.3793512707723</v>
      </c>
      <c r="AW21" s="13">
        <f t="shared" si="35"/>
        <v>633.33475239742017</v>
      </c>
      <c r="AX21" s="13">
        <f t="shared" si="35"/>
        <v>682.58477898640683</v>
      </c>
      <c r="AY21" s="13">
        <f t="shared" si="35"/>
        <v>719.36311487575983</v>
      </c>
      <c r="AZ21" s="13">
        <f t="shared" si="35"/>
        <v>2009.0499635052201</v>
      </c>
      <c r="BA21" s="13">
        <f t="shared" si="35"/>
        <v>2284.3371852321557</v>
      </c>
      <c r="BB21" s="13">
        <f t="shared" si="35"/>
        <v>2384.0475899527928</v>
      </c>
      <c r="BC21" s="13">
        <f t="shared" si="35"/>
        <v>2061.8222080646979</v>
      </c>
      <c r="BD21" s="13">
        <f t="shared" si="35"/>
        <v>2406.4738962367469</v>
      </c>
      <c r="BE21" s="13">
        <f t="shared" si="35"/>
        <v>2496.3383941882871</v>
      </c>
      <c r="BH21" s="28">
        <v>0.75069444444444444</v>
      </c>
      <c r="BI21" s="30">
        <f>AE21*100/AE$39</f>
        <v>33.71065645719964</v>
      </c>
      <c r="BJ21" s="30">
        <f>AF21*100/AF$39</f>
        <v>33.03102286570256</v>
      </c>
      <c r="BK21" s="30">
        <f>AG21*100/AG$39</f>
        <v>33.293563882637173</v>
      </c>
      <c r="BL21" s="30">
        <f>AH21*100/AH$39</f>
        <v>59.626136710315045</v>
      </c>
      <c r="BM21" s="30">
        <f>AI21*100/AI$39</f>
        <v>56.66085462963639</v>
      </c>
      <c r="BN21" s="30">
        <f>AJ21*100/AJ$39</f>
        <v>55.366224511500263</v>
      </c>
      <c r="BO21" s="30">
        <f>AK21*100/AK$39</f>
        <v>51.706471946409685</v>
      </c>
      <c r="BP21" s="30">
        <f>AL21*100/AL$39</f>
        <v>51.40796681352834</v>
      </c>
      <c r="BQ21" s="30">
        <f>AM21*100/AM$39</f>
        <v>51.742963028792623</v>
      </c>
      <c r="BR21" s="30">
        <f>AN21*100/AN$39</f>
        <v>43.59237986800553</v>
      </c>
      <c r="BS21" s="30">
        <f>AO21*100/AO$39</f>
        <v>45.138010275240134</v>
      </c>
      <c r="BT21" s="30">
        <f>AP21*100/AP$39</f>
        <v>40.970170239440186</v>
      </c>
      <c r="BU21" s="30">
        <f>AQ21*100/AQ$39</f>
        <v>100</v>
      </c>
      <c r="BV21" s="30">
        <f>AR21*100/AR$39</f>
        <v>47.510194846390881</v>
      </c>
      <c r="BW21" s="30">
        <f>AS21*100/AS$39</f>
        <v>44.46149543442391</v>
      </c>
      <c r="BX21" s="30">
        <f t="shared" si="23"/>
        <v>72.171745661601648</v>
      </c>
      <c r="BY21" s="30">
        <f t="shared" si="24"/>
        <v>65.737908827541986</v>
      </c>
      <c r="BZ21" s="30">
        <f t="shared" si="25"/>
        <v>66.161659739859118</v>
      </c>
      <c r="CA21" s="30">
        <f t="shared" si="26"/>
        <v>66.341590459165218</v>
      </c>
      <c r="CB21" s="30">
        <f t="shared" si="27"/>
        <v>65.534991405459024</v>
      </c>
      <c r="CC21" s="30">
        <f t="shared" si="28"/>
        <v>66.043387731810981</v>
      </c>
      <c r="CD21" s="30">
        <f t="shared" si="29"/>
        <v>58.144742562240609</v>
      </c>
      <c r="CE21" s="30">
        <f t="shared" si="30"/>
        <v>58.179462690662106</v>
      </c>
      <c r="CF21" s="30">
        <f t="shared" si="31"/>
        <v>57.62625659909618</v>
      </c>
      <c r="CG21" s="30">
        <f t="shared" si="32"/>
        <v>57.81095224013518</v>
      </c>
      <c r="CH21" s="30">
        <f t="shared" si="33"/>
        <v>57.542006197939685</v>
      </c>
      <c r="CI21" s="30">
        <f t="shared" si="34"/>
        <v>58.413162810694281</v>
      </c>
      <c r="CP21" s="37"/>
      <c r="CQ21" s="37"/>
      <c r="CR21" s="37"/>
      <c r="CS21" s="37"/>
      <c r="CT21" s="37"/>
      <c r="CU21" s="37"/>
    </row>
    <row r="22" spans="1:101" ht="15" x14ac:dyDescent="0.25">
      <c r="A22" s="81" t="s">
        <v>71</v>
      </c>
      <c r="B22" s="67">
        <v>680.97170000000006</v>
      </c>
      <c r="C22" s="67">
        <v>705.20839999999998</v>
      </c>
      <c r="D22" s="67">
        <v>780.88369999999998</v>
      </c>
      <c r="E22" s="67">
        <v>0</v>
      </c>
      <c r="F22" s="67">
        <v>324.80259999999998</v>
      </c>
      <c r="G22" s="67">
        <v>270.83580000000001</v>
      </c>
      <c r="H22" s="67">
        <v>0</v>
      </c>
      <c r="I22" s="67">
        <v>0</v>
      </c>
      <c r="J22" s="67">
        <v>0</v>
      </c>
      <c r="K22" s="67" t="s">
        <v>204</v>
      </c>
      <c r="L22" s="67" t="s">
        <v>205</v>
      </c>
      <c r="M22" s="67" t="s">
        <v>206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/>
      <c r="AD22" s="33" t="s">
        <v>34</v>
      </c>
      <c r="AE22" s="13">
        <f>((B$22/B$13)*$E$3)/282.4*(1/AE$4*1000)/3</f>
        <v>16.729701557146004</v>
      </c>
      <c r="AF22" s="13">
        <f>((C$22/C$13)*$E$3)/282.4*(1/AF$4*1000)/3</f>
        <v>11.15880787535739</v>
      </c>
      <c r="AG22" s="13">
        <f>((D$22/D$13)*$E$3)/282.4*(1/AG$4*1000)/3</f>
        <v>12.43526950472063</v>
      </c>
      <c r="AH22" s="13">
        <f>((E$22/E$13)*$E$3)/282.4*(1/AH$4*1000)/3</f>
        <v>0</v>
      </c>
      <c r="AI22" s="13">
        <f>((F$22/F$13)*$E$3)/282.4*(1/AI$4*1000)/3</f>
        <v>19.452188241542373</v>
      </c>
      <c r="AJ22" s="13">
        <f>((G$22/G$13)*$E$3)/282.4*(1/AJ$4*1000)/3</f>
        <v>16.456809174514028</v>
      </c>
      <c r="AK22" s="13">
        <f>((H$22/H$13)*$E$3)/282.4*(1/AK$4*1000)/3</f>
        <v>0</v>
      </c>
      <c r="AL22" s="13">
        <f>((I$22/I$13)*$E$3)/282.4*(1/AL$4*1000)/3</f>
        <v>0</v>
      </c>
      <c r="AM22" s="13">
        <f>((J$22/J$13)*$E$3)/282.4*(1/AM$4*1000)/3</f>
        <v>0</v>
      </c>
      <c r="AN22" s="13">
        <f>((K$22/K$13)*$E$3)/282.4*(1/AN$4*1000)/3</f>
        <v>8.4471441968177583</v>
      </c>
      <c r="AO22" s="13">
        <f>((L$22/L$13)*$E$3)/282.4*(1/AO$4*1000)/3</f>
        <v>11.99904228700351</v>
      </c>
      <c r="AP22" s="13">
        <f>((M$22/M$13)*$E$3)/282.4*(1/AP$4*1000)/3</f>
        <v>12.471930461435569</v>
      </c>
      <c r="AQ22" s="13">
        <f>((N$22/N$13)*$E$3)/282.4*(1/AQ$4*1000)/3</f>
        <v>0</v>
      </c>
      <c r="AR22" s="13">
        <f>((O$22/O$13)*$E$3)/282.4*(1/AR$4*1000)/3</f>
        <v>0</v>
      </c>
      <c r="AS22" s="13">
        <f>((P$22/P$13)*$E$3)/282.4*(1/AS$4*1000)/3</f>
        <v>0</v>
      </c>
      <c r="AT22" s="13">
        <f>((Q$22/Q$13)*$E$3)/282.4*(1/AT$4*1000)/3</f>
        <v>0</v>
      </c>
      <c r="AU22" s="13">
        <f t="shared" ref="AU22:BE22" si="36">((R$22/R$13)*$E$3)/282.4*(1/AU$4*1000)/3</f>
        <v>0</v>
      </c>
      <c r="AV22" s="13">
        <f t="shared" si="36"/>
        <v>0</v>
      </c>
      <c r="AW22" s="13">
        <f t="shared" si="36"/>
        <v>0</v>
      </c>
      <c r="AX22" s="13">
        <f t="shared" si="36"/>
        <v>0</v>
      </c>
      <c r="AY22" s="13">
        <f t="shared" si="36"/>
        <v>0</v>
      </c>
      <c r="AZ22" s="13">
        <f t="shared" si="36"/>
        <v>0</v>
      </c>
      <c r="BA22" s="13">
        <f t="shared" si="36"/>
        <v>0</v>
      </c>
      <c r="BB22" s="13">
        <f t="shared" si="36"/>
        <v>0</v>
      </c>
      <c r="BC22" s="13">
        <f t="shared" si="36"/>
        <v>0</v>
      </c>
      <c r="BD22" s="13">
        <f t="shared" si="36"/>
        <v>0</v>
      </c>
      <c r="BE22" s="13">
        <f t="shared" si="36"/>
        <v>0</v>
      </c>
      <c r="BH22" s="58" t="s">
        <v>34</v>
      </c>
      <c r="BI22" s="30">
        <f>AE22*100/AE$39</f>
        <v>10.037188239130957</v>
      </c>
      <c r="BJ22" s="30">
        <f>AF22*100/AF$39</f>
        <v>7.790626656218917</v>
      </c>
      <c r="BK22" s="30">
        <f>AG22*100/AG$39</f>
        <v>8.3337560893804383</v>
      </c>
      <c r="BL22" s="30">
        <f>AH22*100/AH$39</f>
        <v>0</v>
      </c>
      <c r="BM22" s="30">
        <f>AI22*100/AI$39</f>
        <v>2.2417621339250746</v>
      </c>
      <c r="BN22" s="30">
        <f>AJ22*100/AJ$39</f>
        <v>1.9534858304313982</v>
      </c>
      <c r="BO22" s="30">
        <f>AK22*100/AK$39</f>
        <v>0</v>
      </c>
      <c r="BP22" s="30">
        <f>AL22*100/AL$39</f>
        <v>0</v>
      </c>
      <c r="BQ22" s="30">
        <f>AM22*100/AM$39</f>
        <v>0</v>
      </c>
      <c r="BR22" s="30">
        <f>AN22*100/AN$39</f>
        <v>12.004546975998844</v>
      </c>
      <c r="BS22" s="30">
        <f>AO22*100/AO$39</f>
        <v>12.110091832031392</v>
      </c>
      <c r="BT22" s="30">
        <f>AP22*100/AP$39</f>
        <v>11.273570586670964</v>
      </c>
      <c r="BU22" s="30">
        <f>AQ22*100/AQ$39</f>
        <v>0</v>
      </c>
      <c r="BV22" s="30">
        <f>AR22*100/AR$39</f>
        <v>0</v>
      </c>
      <c r="BW22" s="30">
        <f>AS22*100/AS$39</f>
        <v>0</v>
      </c>
      <c r="BX22" s="30">
        <f t="shared" si="23"/>
        <v>0</v>
      </c>
      <c r="BY22" s="30">
        <f t="shared" si="24"/>
        <v>0</v>
      </c>
      <c r="BZ22" s="30">
        <f t="shared" si="25"/>
        <v>0</v>
      </c>
      <c r="CA22" s="30">
        <f t="shared" si="26"/>
        <v>0</v>
      </c>
      <c r="CB22" s="30">
        <f t="shared" si="27"/>
        <v>0</v>
      </c>
      <c r="CC22" s="30">
        <f t="shared" si="28"/>
        <v>0</v>
      </c>
      <c r="CD22" s="30">
        <f t="shared" si="29"/>
        <v>0</v>
      </c>
      <c r="CE22" s="30">
        <f t="shared" si="30"/>
        <v>0</v>
      </c>
      <c r="CF22" s="30">
        <f t="shared" si="31"/>
        <v>0</v>
      </c>
      <c r="CG22" s="30">
        <f t="shared" si="32"/>
        <v>0</v>
      </c>
      <c r="CH22" s="30">
        <f t="shared" si="33"/>
        <v>0</v>
      </c>
      <c r="CI22" s="30">
        <f t="shared" si="34"/>
        <v>0</v>
      </c>
      <c r="CP22" s="36"/>
      <c r="CQ22" s="36"/>
      <c r="CR22" s="36"/>
      <c r="CS22" s="37"/>
      <c r="CT22" s="37"/>
      <c r="CU22" s="37"/>
    </row>
    <row r="23" spans="1:101" ht="15" x14ac:dyDescent="0.25">
      <c r="A23" s="81" t="s">
        <v>61</v>
      </c>
      <c r="B23" s="67">
        <v>280.51769999999999</v>
      </c>
      <c r="C23" s="67">
        <v>250.47880000000001</v>
      </c>
      <c r="D23" s="67">
        <v>284.7004</v>
      </c>
      <c r="E23" s="67">
        <v>1031.3221000000001</v>
      </c>
      <c r="F23" s="67">
        <v>1282.4253000000001</v>
      </c>
      <c r="G23" s="67">
        <v>1269.3100999999999</v>
      </c>
      <c r="H23" s="67">
        <v>5753.5967000000001</v>
      </c>
      <c r="I23" s="67">
        <v>6965.9584999999997</v>
      </c>
      <c r="J23" s="67">
        <v>6652.2103999999999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 t="s">
        <v>207</v>
      </c>
      <c r="R23" s="67" t="s">
        <v>208</v>
      </c>
      <c r="S23" s="67" t="s">
        <v>209</v>
      </c>
      <c r="T23" s="67" t="s">
        <v>210</v>
      </c>
      <c r="U23" s="67" t="s">
        <v>211</v>
      </c>
      <c r="V23" s="67" t="s">
        <v>212</v>
      </c>
      <c r="W23" s="67" t="s">
        <v>213</v>
      </c>
      <c r="X23" s="67" t="s">
        <v>214</v>
      </c>
      <c r="Y23" s="67" t="s">
        <v>215</v>
      </c>
      <c r="Z23" s="67" t="s">
        <v>216</v>
      </c>
      <c r="AA23" s="67" t="s">
        <v>217</v>
      </c>
      <c r="AB23" s="67" t="s">
        <v>218</v>
      </c>
      <c r="AC23" s="68"/>
      <c r="AD23" s="33" t="s">
        <v>18</v>
      </c>
      <c r="AE23" s="13">
        <f>((B$23/B$13)*$E$3)/280.4*(1/AE$4*1000)/3</f>
        <v>6.9407448950468185</v>
      </c>
      <c r="AF23" s="13">
        <f>((C$23/C$13)*$E$3)/280.4*(1/AF$4*1000)/3</f>
        <v>3.9917007960032405</v>
      </c>
      <c r="AG23" s="13">
        <f>((D$23/D$13)*$E$3)/280.4*(1/AG$4*1000)/3</f>
        <v>4.5660809313340165</v>
      </c>
      <c r="AH23" s="13">
        <f>((E$23/E$13)*$E$3)/280.4*(1/AH$4*1000)/3</f>
        <v>67.608637644197657</v>
      </c>
      <c r="AI23" s="13">
        <f>((F$23/F$13)*$E$3)/280.4*(1/AI$4*1000)/3</f>
        <v>77.351319580641061</v>
      </c>
      <c r="AJ23" s="13">
        <f>((G$23/G$13)*$E$3)/280.4*(1/AJ$4*1000)/3</f>
        <v>77.677275028728516</v>
      </c>
      <c r="AK23" s="13">
        <f>((H$23/H$13)*$E$3)/280.4*(1/AK$4*1000)/3</f>
        <v>346.85090688407371</v>
      </c>
      <c r="AL23" s="13">
        <f>((I$23/I$13)*$E$3)/280.4*(1/AL$4*1000)/3</f>
        <v>404.55781839531863</v>
      </c>
      <c r="AM23" s="13">
        <f>((J$23/J$13)*$E$3)/280.4*(1/AM$4*1000)/3</f>
        <v>428.62470977215645</v>
      </c>
      <c r="AN23" s="13">
        <f>((K$23/K$13)*$E$3)/280.4*(1/AN$4*1000)/3</f>
        <v>0</v>
      </c>
      <c r="AO23" s="13">
        <f>((L$23/L$13)*$E$3)/280.4*(1/AO$4*1000)/3</f>
        <v>0</v>
      </c>
      <c r="AP23" s="13">
        <f>((M$23/M$13)*$E$3)/280.4*(1/AP$4*1000)/3</f>
        <v>0</v>
      </c>
      <c r="AQ23" s="13">
        <f>((N$23/N$13)*$E$3)/280.4*(1/AQ$4*1000)/3</f>
        <v>0</v>
      </c>
      <c r="AR23" s="13">
        <f>((O$23/O$13)*$E$3)/280.4*(1/AR$4*1000)/3</f>
        <v>0</v>
      </c>
      <c r="AS23" s="13">
        <f>((P$23/P$13)*$E$3)/280.4*(1/AS$4*1000)/3</f>
        <v>0</v>
      </c>
      <c r="AT23" s="13">
        <f>((Q$23/Q$13)*$E$3)/280.4*(1/AT$4*1000)/3</f>
        <v>36.732921998311149</v>
      </c>
      <c r="AU23" s="13">
        <f t="shared" ref="AU23:BE23" si="37">((R$23/R$13)*$E$3)/280.4*(1/AU$4*1000)/3</f>
        <v>55.448379934823976</v>
      </c>
      <c r="AV23" s="13">
        <f t="shared" si="37"/>
        <v>55.77528520139996</v>
      </c>
      <c r="AW23" s="13">
        <f t="shared" si="37"/>
        <v>68.206326996428345</v>
      </c>
      <c r="AX23" s="13">
        <f t="shared" si="37"/>
        <v>90.47625338386014</v>
      </c>
      <c r="AY23" s="13">
        <f t="shared" si="37"/>
        <v>103.77774404624556</v>
      </c>
      <c r="AZ23" s="13">
        <f t="shared" si="37"/>
        <v>417.90461302014796</v>
      </c>
      <c r="BA23" s="13">
        <f t="shared" si="37"/>
        <v>480.17278394256664</v>
      </c>
      <c r="BB23" s="13">
        <f t="shared" si="37"/>
        <v>500.79547399796564</v>
      </c>
      <c r="BC23" s="13">
        <f t="shared" si="37"/>
        <v>422.95916649496263</v>
      </c>
      <c r="BD23" s="13">
        <f t="shared" si="37"/>
        <v>495.1401981254449</v>
      </c>
      <c r="BE23" s="13">
        <f t="shared" si="37"/>
        <v>511.11198433796653</v>
      </c>
      <c r="BH23" s="28">
        <v>0.75138888888888899</v>
      </c>
      <c r="BI23" s="30">
        <f>AE23*100/AE$39</f>
        <v>4.164184447248247</v>
      </c>
      <c r="BJ23" s="30">
        <f>AF23*100/AF$39</f>
        <v>2.7868434489017604</v>
      </c>
      <c r="BK23" s="30">
        <f>AG23*100/AG$39</f>
        <v>3.0600546897406105</v>
      </c>
      <c r="BL23" s="30">
        <f>AH23*100/AH$39</f>
        <v>8.6351000997269942</v>
      </c>
      <c r="BM23" s="30">
        <f>AI23*100/AI$39</f>
        <v>8.9143317498180377</v>
      </c>
      <c r="BN23" s="30">
        <f>AJ23*100/AJ$39</f>
        <v>9.2205879345152457</v>
      </c>
      <c r="BO23" s="30">
        <f>AK23*100/AK$39</f>
        <v>11.530176228999927</v>
      </c>
      <c r="BP23" s="30">
        <f>AL23*100/AL$39</f>
        <v>11.650675344060426</v>
      </c>
      <c r="BQ23" s="30">
        <f>AM23*100/AM$39</f>
        <v>11.900397288652165</v>
      </c>
      <c r="BR23" s="30">
        <f>AN23*100/AN$39</f>
        <v>0</v>
      </c>
      <c r="BS23" s="30">
        <f>AO23*100/AO$39</f>
        <v>0</v>
      </c>
      <c r="BT23" s="30">
        <f>AP23*100/AP$39</f>
        <v>0</v>
      </c>
      <c r="BU23" s="30">
        <f>AQ23*100/AQ$39</f>
        <v>0</v>
      </c>
      <c r="BV23" s="30">
        <f>AR23*100/AR$39</f>
        <v>0</v>
      </c>
      <c r="BW23" s="30">
        <f>AS23*100/AS$39</f>
        <v>0</v>
      </c>
      <c r="BX23" s="30">
        <f t="shared" si="23"/>
        <v>5.8572253549060322</v>
      </c>
      <c r="BY23" s="30">
        <f t="shared" si="24"/>
        <v>6.5457322972147436</v>
      </c>
      <c r="BZ23" s="30">
        <f t="shared" si="25"/>
        <v>6.3363947113449486</v>
      </c>
      <c r="CA23" s="30">
        <f t="shared" si="26"/>
        <v>7.1445885374083336</v>
      </c>
      <c r="CB23" s="30">
        <f t="shared" si="27"/>
        <v>8.6866286363931451</v>
      </c>
      <c r="CC23" s="30">
        <f t="shared" si="28"/>
        <v>9.5276413903464459</v>
      </c>
      <c r="CD23" s="30">
        <f t="shared" si="29"/>
        <v>12.094749548803916</v>
      </c>
      <c r="CE23" s="30">
        <f t="shared" si="30"/>
        <v>12.229453142496025</v>
      </c>
      <c r="CF23" s="30">
        <f t="shared" si="31"/>
        <v>12.105030373510376</v>
      </c>
      <c r="CG23" s="30">
        <f t="shared" si="32"/>
        <v>11.859253469152856</v>
      </c>
      <c r="CH23" s="30">
        <f t="shared" si="33"/>
        <v>11.839463704110122</v>
      </c>
      <c r="CI23" s="30">
        <f t="shared" si="34"/>
        <v>11.959783827840607</v>
      </c>
      <c r="CP23" s="49"/>
      <c r="CQ23" s="49"/>
      <c r="CR23" s="49"/>
      <c r="CS23" s="37"/>
      <c r="CT23" s="37"/>
      <c r="CU23" s="37"/>
    </row>
    <row r="24" spans="1:101" ht="15" x14ac:dyDescent="0.25">
      <c r="A24" s="81" t="s">
        <v>72</v>
      </c>
      <c r="B24" s="67">
        <v>0</v>
      </c>
      <c r="C24" s="67">
        <v>24.094100000000001</v>
      </c>
      <c r="D24" s="67">
        <v>0</v>
      </c>
      <c r="E24" s="67">
        <v>0</v>
      </c>
      <c r="F24" s="67">
        <v>0</v>
      </c>
      <c r="G24" s="67">
        <v>0</v>
      </c>
      <c r="H24" s="67">
        <v>742.79859999999996</v>
      </c>
      <c r="I24" s="67">
        <v>850.45809999999994</v>
      </c>
      <c r="J24" s="67">
        <v>787.30079999999998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 t="s">
        <v>219</v>
      </c>
      <c r="AB24" s="67">
        <v>0</v>
      </c>
      <c r="AC24" s="68"/>
      <c r="AD24" s="33" t="s">
        <v>20</v>
      </c>
      <c r="AE24" s="13">
        <f>((B$24/B$13)*$E$3)/278.4*(1/AE$4*1000)/3</f>
        <v>0</v>
      </c>
      <c r="AF24" s="13">
        <f>((C$24/C$13)*$E$3)/278.4*(1/AF$4*1000)/3</f>
        <v>0.38672878038713682</v>
      </c>
      <c r="AG24" s="13">
        <f>((D$24/D$13)*$E$3)/278.4*(1/AG$4*1000)/3</f>
        <v>0</v>
      </c>
      <c r="AH24" s="13">
        <f>((E$24/E$13)*$E$3)/278.4*(1/AH$4*1000)/3</f>
        <v>0</v>
      </c>
      <c r="AI24" s="13">
        <f>((F$24/F$13)*$E$3)/278.4*(1/AI$4*1000)/3</f>
        <v>0</v>
      </c>
      <c r="AJ24" s="13">
        <f>((G$24/G$13)*$E$3)/278.4*(1/AJ$4*1000)/3</f>
        <v>0</v>
      </c>
      <c r="AK24" s="13">
        <f>((H$24/H$13)*$E$3)/278.4*(1/AK$4*1000)/3</f>
        <v>45.100698968901888</v>
      </c>
      <c r="AL24" s="13">
        <f>((I$24/I$13)*$E$3)/278.4*(1/AL$4*1000)/3</f>
        <v>49.746372332410651</v>
      </c>
      <c r="AM24" s="13">
        <f>((J$24/J$13)*$E$3)/278.4*(1/AM$4*1000)/3</f>
        <v>51.092917013173661</v>
      </c>
      <c r="AN24" s="13">
        <f>((K$24/K$13)*$E$3)/278.4*(1/AN$4*1000)/3</f>
        <v>0</v>
      </c>
      <c r="AO24" s="13">
        <f>((L$24/L$13)*$E$3)/278.4*(1/AO$4*1000)/3</f>
        <v>0</v>
      </c>
      <c r="AP24" s="13">
        <f>((M$24/M$13)*$E$3)/278.4*(1/AP$4*1000)/3</f>
        <v>0</v>
      </c>
      <c r="AQ24" s="13">
        <f>((N$24/N$13)*$E$3)/278.4*(1/AQ$4*1000)/3</f>
        <v>0</v>
      </c>
      <c r="AR24" s="13">
        <f>((O$24/O$13)*$E$3)/278.4*(1/AR$4*1000)/3</f>
        <v>0</v>
      </c>
      <c r="AS24" s="13">
        <f>((P$24/P$13)*$E$3)/278.4*(1/AS$4*1000)/3</f>
        <v>0</v>
      </c>
      <c r="AT24" s="13">
        <f>((Q$24/Q$13)*$E$3)/278.4*(1/AT$4*1000)/3</f>
        <v>0</v>
      </c>
      <c r="AU24" s="13">
        <f t="shared" ref="AU24:BE24" si="38">((R$24/R$13)*$E$3)/278.4*(1/AU$4*1000)/3</f>
        <v>0</v>
      </c>
      <c r="AV24" s="13">
        <f t="shared" si="38"/>
        <v>0</v>
      </c>
      <c r="AW24" s="13">
        <f t="shared" si="38"/>
        <v>0</v>
      </c>
      <c r="AX24" s="13">
        <f t="shared" si="38"/>
        <v>0</v>
      </c>
      <c r="AY24" s="13">
        <f t="shared" si="38"/>
        <v>0</v>
      </c>
      <c r="AZ24" s="13">
        <f t="shared" si="38"/>
        <v>0</v>
      </c>
      <c r="BA24" s="13">
        <f t="shared" si="38"/>
        <v>0</v>
      </c>
      <c r="BB24" s="13">
        <f t="shared" si="38"/>
        <v>0</v>
      </c>
      <c r="BC24" s="13">
        <f t="shared" si="38"/>
        <v>0</v>
      </c>
      <c r="BD24" s="13">
        <f t="shared" si="38"/>
        <v>56.342950091960311</v>
      </c>
      <c r="BE24" s="13">
        <f t="shared" si="38"/>
        <v>0</v>
      </c>
      <c r="BH24" s="32" t="s">
        <v>19</v>
      </c>
      <c r="BI24" s="30">
        <f>AE24*100/AE$39</f>
        <v>0</v>
      </c>
      <c r="BJ24" s="30">
        <f>AF24*100/AF$39</f>
        <v>0.26999833484583269</v>
      </c>
      <c r="BK24" s="30">
        <f>AG24*100/AG$39</f>
        <v>0</v>
      </c>
      <c r="BL24" s="30">
        <f>AH24*100/AH$39</f>
        <v>0</v>
      </c>
      <c r="BM24" s="30">
        <f>AI24*100/AI$39</f>
        <v>0</v>
      </c>
      <c r="BN24" s="30">
        <f>AJ24*100/AJ$39</f>
        <v>0</v>
      </c>
      <c r="BO24" s="30">
        <f>AK24*100/AK$39</f>
        <v>1.4992580294342939</v>
      </c>
      <c r="BP24" s="30">
        <f>AL24*100/AL$39</f>
        <v>1.4326229953695369</v>
      </c>
      <c r="BQ24" s="30">
        <f>AM24*100/AM$39</f>
        <v>1.4185510009819773</v>
      </c>
      <c r="BR24" s="30">
        <f>AN24*100/AN$39</f>
        <v>0</v>
      </c>
      <c r="BS24" s="30">
        <f>AO24*100/AO$39</f>
        <v>0</v>
      </c>
      <c r="BT24" s="30">
        <f>AP24*100/AP$39</f>
        <v>0</v>
      </c>
      <c r="BU24" s="30">
        <f>AQ24*100/AQ$39</f>
        <v>0</v>
      </c>
      <c r="BV24" s="30">
        <f>AR24*100/AR$39</f>
        <v>0</v>
      </c>
      <c r="BW24" s="30">
        <f>AS24*100/AS$39</f>
        <v>0</v>
      </c>
      <c r="BX24" s="30">
        <f t="shared" si="23"/>
        <v>0</v>
      </c>
      <c r="BY24" s="30">
        <f t="shared" si="24"/>
        <v>0</v>
      </c>
      <c r="BZ24" s="30">
        <f t="shared" si="25"/>
        <v>0</v>
      </c>
      <c r="CA24" s="30">
        <f t="shared" si="26"/>
        <v>0</v>
      </c>
      <c r="CB24" s="30">
        <f t="shared" si="27"/>
        <v>0</v>
      </c>
      <c r="CC24" s="30">
        <f t="shared" si="28"/>
        <v>0</v>
      </c>
      <c r="CD24" s="30">
        <f t="shared" si="29"/>
        <v>0</v>
      </c>
      <c r="CE24" s="30">
        <f t="shared" si="30"/>
        <v>0</v>
      </c>
      <c r="CF24" s="30">
        <f t="shared" si="31"/>
        <v>0</v>
      </c>
      <c r="CG24" s="30">
        <f t="shared" si="32"/>
        <v>0</v>
      </c>
      <c r="CH24" s="30">
        <f t="shared" si="33"/>
        <v>1.3472352176650551</v>
      </c>
      <c r="CI24" s="30">
        <f t="shared" si="34"/>
        <v>0</v>
      </c>
      <c r="CP24" s="49"/>
      <c r="CQ24" s="49"/>
      <c r="CR24" s="49"/>
      <c r="CS24" s="37"/>
      <c r="CT24" s="37"/>
      <c r="CU24" s="37"/>
    </row>
    <row r="25" spans="1:101" ht="15" x14ac:dyDescent="0.25">
      <c r="A25" s="81" t="s">
        <v>73</v>
      </c>
      <c r="B25" s="67">
        <v>284.63510000000002</v>
      </c>
      <c r="C25" s="67">
        <v>157.35900000000001</v>
      </c>
      <c r="D25" s="67">
        <v>90.199799999999996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 t="s">
        <v>220</v>
      </c>
      <c r="L25" s="67">
        <v>0</v>
      </c>
      <c r="M25" s="67">
        <v>0</v>
      </c>
      <c r="N25" s="67">
        <v>0</v>
      </c>
      <c r="O25" s="67" t="s">
        <v>221</v>
      </c>
      <c r="P25" s="67" t="s">
        <v>222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/>
      <c r="AD25" s="33" t="s">
        <v>20</v>
      </c>
      <c r="AE25" s="13">
        <f>((B$25/B$13)*$E$3)/278.4*(1/AE$4*1000)/3</f>
        <v>7.0932137244250848</v>
      </c>
      <c r="AF25" s="13">
        <f>((C$25/C$13)*$E$3)/278.4*(1/AF$4*1000)/3</f>
        <v>2.5257326130853386</v>
      </c>
      <c r="AG25" s="13">
        <f>((D$25/D$13)*$E$3)/278.4*(1/AG$4*1000)/3</f>
        <v>1.4570346518287172</v>
      </c>
      <c r="AH25" s="13">
        <f>((E$25/E$13)*$E$3)/278.4*(1/AH$4*1000)/3</f>
        <v>0</v>
      </c>
      <c r="AI25" s="13">
        <f>((F$25/F$13)*$E$3)/278.4*(1/AI$4*1000)/3</f>
        <v>0</v>
      </c>
      <c r="AJ25" s="13">
        <f>((G$25/G$13)*$E$3)/278.4*(1/AJ$4*1000)/3</f>
        <v>0</v>
      </c>
      <c r="AK25" s="13">
        <f>((H$25/H$13)*$E$3)/278.4*(1/AK$4*1000)/3</f>
        <v>0</v>
      </c>
      <c r="AL25" s="13">
        <f>((I$25/I$13)*$E$3)/278.4*(1/AL$4*1000)/3</f>
        <v>0</v>
      </c>
      <c r="AM25" s="13">
        <f>((J$25/J$13)*$E$3)/278.4*(1/AM$4*1000)/3</f>
        <v>0</v>
      </c>
      <c r="AN25" s="13">
        <f>((K$25/K$13)*$E$3)/278.4*(1/AN$4*1000)/3</f>
        <v>10.746318867576669</v>
      </c>
      <c r="AO25" s="13">
        <f>((L$25/L$13)*$E$3)/278.4*(1/AO$4*1000)/3</f>
        <v>0</v>
      </c>
      <c r="AP25" s="13">
        <f>((M$25/M$13)*$E$3)/278.4*(1/AP$4*1000)/3</f>
        <v>0</v>
      </c>
      <c r="AQ25" s="13">
        <f>((N$25/N$13)*$E$3)/278.4*(1/AQ$4*1000)/3</f>
        <v>0</v>
      </c>
      <c r="AR25" s="13">
        <f>((O$25/O$13)*$E$3)/278.4*(1/AR$4*1000)/3</f>
        <v>12.633690469408814</v>
      </c>
      <c r="AS25" s="13">
        <f>((P$25/P$13)*$E$3)/278.4*(1/AS$4*1000)/3</f>
        <v>11.945670544059494</v>
      </c>
      <c r="AT25" s="13">
        <f>((Q$25/Q$13)*$E$3)/278.4*(1/AT$4*1000)/3</f>
        <v>0</v>
      </c>
      <c r="AU25" s="13">
        <f t="shared" ref="AU25:BE25" si="39">((R$25/R$13)*$E$3)/278.4*(1/AU$4*1000)/3</f>
        <v>0</v>
      </c>
      <c r="AV25" s="13">
        <f t="shared" si="39"/>
        <v>0</v>
      </c>
      <c r="AW25" s="13">
        <f t="shared" si="39"/>
        <v>0</v>
      </c>
      <c r="AX25" s="13">
        <f t="shared" si="39"/>
        <v>0</v>
      </c>
      <c r="AY25" s="13">
        <f t="shared" si="39"/>
        <v>0</v>
      </c>
      <c r="AZ25" s="13">
        <f t="shared" si="39"/>
        <v>0</v>
      </c>
      <c r="BA25" s="13">
        <f t="shared" si="39"/>
        <v>0</v>
      </c>
      <c r="BB25" s="13">
        <f t="shared" si="39"/>
        <v>0</v>
      </c>
      <c r="BC25" s="13">
        <f t="shared" si="39"/>
        <v>0</v>
      </c>
      <c r="BD25" s="13">
        <f t="shared" si="39"/>
        <v>0</v>
      </c>
      <c r="BE25" s="13">
        <f t="shared" si="39"/>
        <v>0</v>
      </c>
      <c r="BH25" s="32" t="s">
        <v>21</v>
      </c>
      <c r="BI25" s="30">
        <f>AE25*100/AE$39</f>
        <v>4.2556599787060039</v>
      </c>
      <c r="BJ25" s="30">
        <f>AF25*100/AF$39</f>
        <v>1.7633639759528426</v>
      </c>
      <c r="BK25" s="30">
        <f>AG25*100/AG$39</f>
        <v>0.97646226304193584</v>
      </c>
      <c r="BL25" s="30">
        <f>AH25*100/AH$39</f>
        <v>0</v>
      </c>
      <c r="BM25" s="30">
        <f>AI25*100/AI$39</f>
        <v>0</v>
      </c>
      <c r="BN25" s="30">
        <f>AJ25*100/AJ$39</f>
        <v>0</v>
      </c>
      <c r="BO25" s="30">
        <f>AK25*100/AK$39</f>
        <v>0</v>
      </c>
      <c r="BP25" s="30">
        <f>AL25*100/AL$39</f>
        <v>0</v>
      </c>
      <c r="BQ25" s="30">
        <f>AM25*100/AM$39</f>
        <v>0</v>
      </c>
      <c r="BR25" s="30">
        <f>AN25*100/AN$39</f>
        <v>15.271988574965489</v>
      </c>
      <c r="BS25" s="30">
        <f>AO25*100/AO$39</f>
        <v>0</v>
      </c>
      <c r="BT25" s="30">
        <f>AP25*100/AP$39</f>
        <v>0</v>
      </c>
      <c r="BU25" s="30">
        <f>AQ25*100/AQ$39</f>
        <v>0</v>
      </c>
      <c r="BV25" s="30">
        <f>AR25*100/AR$39</f>
        <v>24.390864872943315</v>
      </c>
      <c r="BW25" s="30">
        <f>AS25*100/AS$39</f>
        <v>27.245134103890887</v>
      </c>
      <c r="BX25" s="30">
        <f t="shared" si="23"/>
        <v>0</v>
      </c>
      <c r="BY25" s="30">
        <f t="shared" si="24"/>
        <v>0</v>
      </c>
      <c r="BZ25" s="30">
        <f t="shared" si="25"/>
        <v>0</v>
      </c>
      <c r="CA25" s="30">
        <f t="shared" si="26"/>
        <v>0</v>
      </c>
      <c r="CB25" s="30">
        <f t="shared" si="27"/>
        <v>0</v>
      </c>
      <c r="CC25" s="30">
        <f t="shared" si="28"/>
        <v>0</v>
      </c>
      <c r="CD25" s="30">
        <f t="shared" si="29"/>
        <v>0</v>
      </c>
      <c r="CE25" s="30">
        <f t="shared" si="30"/>
        <v>0</v>
      </c>
      <c r="CF25" s="30">
        <f t="shared" si="31"/>
        <v>0</v>
      </c>
      <c r="CG25" s="30">
        <f t="shared" si="32"/>
        <v>0</v>
      </c>
      <c r="CH25" s="30">
        <f t="shared" si="33"/>
        <v>0</v>
      </c>
      <c r="CI25" s="30">
        <f t="shared" si="34"/>
        <v>0</v>
      </c>
      <c r="CP25" s="49"/>
      <c r="CQ25" s="49"/>
      <c r="CR25" s="49"/>
      <c r="CS25" s="37"/>
      <c r="CT25" s="37"/>
      <c r="CU25" s="37"/>
    </row>
    <row r="26" spans="1:101" ht="15" x14ac:dyDescent="0.25">
      <c r="A26" s="81" t="s">
        <v>52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/>
      <c r="AD26" s="33" t="s">
        <v>22</v>
      </c>
      <c r="AE26" s="13">
        <f>((B$26/B$13)*$E$3)/312.5*(1/AE$4*1000)/3</f>
        <v>0</v>
      </c>
      <c r="AF26" s="13">
        <f>((C$26/C$13)*$E$3)/312.5*(1/AF$4*1000)/3</f>
        <v>0</v>
      </c>
      <c r="AG26" s="13">
        <f>((D$26/D$13)*$E$3)/312.5*(1/AG$4*1000)/3</f>
        <v>0</v>
      </c>
      <c r="AH26" s="13">
        <f>((E$26/E$13)*$E$3)/312.5*(1/AH$4*1000)/3</f>
        <v>0</v>
      </c>
      <c r="AI26" s="13">
        <f>((F$26/F$13)*$E$3)/312.5*(1/AI$4*1000)/3</f>
        <v>0</v>
      </c>
      <c r="AJ26" s="13">
        <f>((G$26/G$13)*$E$3)/312.5*(1/AJ$4*1000)/3</f>
        <v>0</v>
      </c>
      <c r="AK26" s="13">
        <f>((H$26/H$13)*$E$3)/312.5*(1/AK$4*1000)/3</f>
        <v>0</v>
      </c>
      <c r="AL26" s="13">
        <f>((I$26/I$13)*$E$3)/312.5*(1/AL$4*1000)/3</f>
        <v>0</v>
      </c>
      <c r="AM26" s="13">
        <f>((J$26/J$13)*$E$3)/312.5*(1/AM$4*1000)/3</f>
        <v>0</v>
      </c>
      <c r="AN26" s="13">
        <f>((K$26/K$13)*$E$3)/312.5*(1/AN$4*1000)/3</f>
        <v>0</v>
      </c>
      <c r="AO26" s="13">
        <f>((L$26/L$13)*$E$3)/312.5*(1/AO$4*1000)/3</f>
        <v>0</v>
      </c>
      <c r="AP26" s="13">
        <f>((M$26/M$13)*$E$3)/312.5*(1/AP$4*1000)/3</f>
        <v>0</v>
      </c>
      <c r="AQ26" s="13">
        <f>((N$26/N$13)*$E$3)/312.5*(1/AQ$4*1000)/3</f>
        <v>0</v>
      </c>
      <c r="AR26" s="13">
        <f>((O$26/O$13)*$E$3)/312.5*(1/AR$4*1000)/3</f>
        <v>0</v>
      </c>
      <c r="AS26" s="13">
        <f>((P$26/P$13)*$E$3)/312.5*(1/AS$4*1000)/3</f>
        <v>0</v>
      </c>
      <c r="AT26" s="13">
        <f>((Q$26/Q$13)*$E$3)/312.5*(1/AT$4*1000)/3</f>
        <v>0</v>
      </c>
      <c r="AU26" s="13">
        <f t="shared" ref="AU26:BE26" si="40">((R$26/R$13)*$E$3)/312.5*(1/AU$4*1000)/3</f>
        <v>0</v>
      </c>
      <c r="AV26" s="13">
        <f t="shared" si="40"/>
        <v>0</v>
      </c>
      <c r="AW26" s="13">
        <f t="shared" si="40"/>
        <v>0</v>
      </c>
      <c r="AX26" s="13">
        <f t="shared" si="40"/>
        <v>0</v>
      </c>
      <c r="AY26" s="13">
        <f t="shared" si="40"/>
        <v>0</v>
      </c>
      <c r="AZ26" s="13">
        <f t="shared" si="40"/>
        <v>0</v>
      </c>
      <c r="BA26" s="13">
        <f t="shared" si="40"/>
        <v>0</v>
      </c>
      <c r="BB26" s="13">
        <f t="shared" si="40"/>
        <v>0</v>
      </c>
      <c r="BC26" s="13">
        <f t="shared" si="40"/>
        <v>0</v>
      </c>
      <c r="BD26" s="13">
        <f t="shared" si="40"/>
        <v>0</v>
      </c>
      <c r="BE26" s="13">
        <f t="shared" si="40"/>
        <v>0</v>
      </c>
      <c r="BH26" s="28">
        <v>0.83333333333333337</v>
      </c>
      <c r="BI26" s="30">
        <f>AE26*100/AE$39</f>
        <v>0</v>
      </c>
      <c r="BJ26" s="30">
        <f>AF26*100/AF$39</f>
        <v>0</v>
      </c>
      <c r="BK26" s="30">
        <f>AG26*100/AG$39</f>
        <v>0</v>
      </c>
      <c r="BL26" s="30">
        <f>AH26*100/AH$39</f>
        <v>0</v>
      </c>
      <c r="BM26" s="30">
        <f>AI26*100/AI$39</f>
        <v>0</v>
      </c>
      <c r="BN26" s="30">
        <f>AJ26*100/AJ$39</f>
        <v>0</v>
      </c>
      <c r="BO26" s="30">
        <f>AK26*100/AK$39</f>
        <v>0</v>
      </c>
      <c r="BP26" s="30">
        <f>AL26*100/AL$39</f>
        <v>0</v>
      </c>
      <c r="BQ26" s="30">
        <f>AM26*100/AM$39</f>
        <v>0</v>
      </c>
      <c r="BR26" s="30">
        <f>AN26*100/AN$39</f>
        <v>0</v>
      </c>
      <c r="BS26" s="30">
        <f>AO26*100/AO$39</f>
        <v>0</v>
      </c>
      <c r="BT26" s="30">
        <f>AP26*100/AP$39</f>
        <v>0</v>
      </c>
      <c r="BU26" s="30">
        <f>AQ26*100/AQ$39</f>
        <v>0</v>
      </c>
      <c r="BV26" s="30">
        <f>AR26*100/AR$39</f>
        <v>0</v>
      </c>
      <c r="BW26" s="30">
        <f>AS26*100/AS$39</f>
        <v>0</v>
      </c>
      <c r="BX26" s="30">
        <f t="shared" si="23"/>
        <v>0</v>
      </c>
      <c r="BY26" s="30">
        <f t="shared" si="24"/>
        <v>0</v>
      </c>
      <c r="BZ26" s="30">
        <f t="shared" si="25"/>
        <v>0</v>
      </c>
      <c r="CA26" s="30">
        <f t="shared" si="26"/>
        <v>0</v>
      </c>
      <c r="CB26" s="30">
        <f t="shared" si="27"/>
        <v>0</v>
      </c>
      <c r="CC26" s="30">
        <f t="shared" si="28"/>
        <v>0</v>
      </c>
      <c r="CD26" s="30">
        <f t="shared" si="29"/>
        <v>0</v>
      </c>
      <c r="CE26" s="30">
        <f t="shared" si="30"/>
        <v>0</v>
      </c>
      <c r="CF26" s="30">
        <f t="shared" si="31"/>
        <v>0</v>
      </c>
      <c r="CG26" s="30">
        <f t="shared" si="32"/>
        <v>0</v>
      </c>
      <c r="CH26" s="30">
        <f t="shared" si="33"/>
        <v>0</v>
      </c>
      <c r="CI26" s="30">
        <f t="shared" si="34"/>
        <v>0</v>
      </c>
      <c r="CP26" s="49"/>
      <c r="CQ26" s="49"/>
      <c r="CR26" s="49"/>
      <c r="CS26" s="37"/>
      <c r="CT26" s="37"/>
      <c r="CU26" s="37"/>
    </row>
    <row r="27" spans="1:101" ht="15" x14ac:dyDescent="0.25">
      <c r="A27" s="81" t="s">
        <v>62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340.85550000000001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5"/>
      <c r="AD27" s="33" t="s">
        <v>23</v>
      </c>
      <c r="AE27" s="13">
        <f>((B$27/B$13)*$E$3)/310.5*(1/AE$4*1000)/3</f>
        <v>0</v>
      </c>
      <c r="AF27" s="13">
        <f>((C$27/C$13)*$E$3)/310.5*(1/AF$4*1000)/3</f>
        <v>0</v>
      </c>
      <c r="AG27" s="13">
        <f>((D$27/D$13)*$E$3)/310.5*(1/AG$4*1000)/3</f>
        <v>0</v>
      </c>
      <c r="AH27" s="13">
        <f>((E$27/E$13)*$E$3)/310.5*(1/AH$4*1000)/3</f>
        <v>0</v>
      </c>
      <c r="AI27" s="13">
        <f>((F$27/F$13)*$E$3)/310.5*(1/AI$4*1000)/3</f>
        <v>0</v>
      </c>
      <c r="AJ27" s="13">
        <f>((G$27/G$13)*$E$3)/310.5*(1/AJ$4*1000)/3</f>
        <v>0</v>
      </c>
      <c r="AK27" s="13">
        <f>((H$27/H$13)*$E$3)/310.5*(1/AK$4*1000)/3</f>
        <v>0</v>
      </c>
      <c r="AL27" s="13">
        <f>((I$27/I$13)*$E$3)/310.5*(1/AL$4*1000)/3</f>
        <v>17.876661913067618</v>
      </c>
      <c r="AM27" s="13">
        <f>((J$27/J$13)*$E$3)/310.5*(1/AM$4*1000)/3</f>
        <v>0</v>
      </c>
      <c r="AN27" s="13">
        <f>((K$27/K$13)*$E$3)/310.5*(1/AN$4*1000)/3</f>
        <v>0</v>
      </c>
      <c r="AO27" s="13">
        <f>((L$27/L$13)*$E$3)/310.5*(1/AO$4*1000)/3</f>
        <v>0</v>
      </c>
      <c r="AP27" s="13">
        <f>((M$27/M$13)*$E$3)/310.5*(1/AP$4*1000)/3</f>
        <v>0</v>
      </c>
      <c r="AQ27" s="13">
        <f>((N$27/N$13)*$E$3)/310.5*(1/AQ$4*1000)/3</f>
        <v>0</v>
      </c>
      <c r="AR27" s="13">
        <f>((O$27/O$13)*$E$3)/310.5*(1/AR$4*1000)/3</f>
        <v>0</v>
      </c>
      <c r="AS27" s="13">
        <f>((P$27/P$13)*$E$3)/310.5*(1/AS$4*1000)/3</f>
        <v>0</v>
      </c>
      <c r="AT27" s="13">
        <f>((Q$27/Q$13)*$E$3)/310.5*(1/AT$4*1000)/3</f>
        <v>0</v>
      </c>
      <c r="AU27" s="13">
        <f t="shared" ref="AU27:BE27" si="41">((R$27/R$13)*$E$3)/310.5*(1/AU$4*1000)/3</f>
        <v>0</v>
      </c>
      <c r="AV27" s="13">
        <f t="shared" si="41"/>
        <v>0</v>
      </c>
      <c r="AW27" s="13">
        <f t="shared" si="41"/>
        <v>0</v>
      </c>
      <c r="AX27" s="13">
        <f t="shared" si="41"/>
        <v>0</v>
      </c>
      <c r="AY27" s="13">
        <f t="shared" si="41"/>
        <v>0</v>
      </c>
      <c r="AZ27" s="13">
        <f t="shared" si="41"/>
        <v>0</v>
      </c>
      <c r="BA27" s="13">
        <f t="shared" si="41"/>
        <v>0</v>
      </c>
      <c r="BB27" s="13">
        <f t="shared" si="41"/>
        <v>0</v>
      </c>
      <c r="BC27" s="13">
        <f t="shared" si="41"/>
        <v>0</v>
      </c>
      <c r="BD27" s="13">
        <f t="shared" si="41"/>
        <v>0</v>
      </c>
      <c r="BE27" s="13">
        <f t="shared" si="41"/>
        <v>0</v>
      </c>
      <c r="BH27" s="28">
        <v>0.8340277777777777</v>
      </c>
      <c r="BI27" s="30">
        <f>AE27*100/AE$39</f>
        <v>0</v>
      </c>
      <c r="BJ27" s="30">
        <f>AF27*100/AF$39</f>
        <v>0</v>
      </c>
      <c r="BK27" s="30">
        <f>AG27*100/AG$39</f>
        <v>0</v>
      </c>
      <c r="BL27" s="30">
        <f>AH27*100/AH$39</f>
        <v>0</v>
      </c>
      <c r="BM27" s="30">
        <f>AI27*100/AI$39</f>
        <v>0</v>
      </c>
      <c r="BN27" s="30">
        <f>AJ27*100/AJ$39</f>
        <v>0</v>
      </c>
      <c r="BO27" s="30">
        <f>AK27*100/AK$39</f>
        <v>0</v>
      </c>
      <c r="BP27" s="30">
        <f>AL27*100/AL$39</f>
        <v>0.51482179978823783</v>
      </c>
      <c r="BQ27" s="30">
        <f>AM27*100/AM$39</f>
        <v>0</v>
      </c>
      <c r="BR27" s="30">
        <f>AN27*100/AN$39</f>
        <v>0</v>
      </c>
      <c r="BS27" s="30">
        <f>AO27*100/AO$39</f>
        <v>0</v>
      </c>
      <c r="BT27" s="30">
        <f>AP27*100/AP$39</f>
        <v>0</v>
      </c>
      <c r="BU27" s="30">
        <f>AQ27*100/AQ$39</f>
        <v>0</v>
      </c>
      <c r="BV27" s="30">
        <f>AR27*100/AR$39</f>
        <v>0</v>
      </c>
      <c r="BW27" s="30">
        <f>AS27*100/AS$39</f>
        <v>0</v>
      </c>
      <c r="BX27" s="30">
        <f t="shared" si="23"/>
        <v>0</v>
      </c>
      <c r="BY27" s="30">
        <f t="shared" si="24"/>
        <v>0</v>
      </c>
      <c r="BZ27" s="30">
        <f t="shared" si="25"/>
        <v>0</v>
      </c>
      <c r="CA27" s="30">
        <f t="shared" si="26"/>
        <v>0</v>
      </c>
      <c r="CB27" s="30">
        <f t="shared" si="27"/>
        <v>0</v>
      </c>
      <c r="CC27" s="30">
        <f t="shared" si="28"/>
        <v>0</v>
      </c>
      <c r="CD27" s="30">
        <f t="shared" si="29"/>
        <v>0</v>
      </c>
      <c r="CE27" s="30">
        <f t="shared" si="30"/>
        <v>0</v>
      </c>
      <c r="CF27" s="30">
        <f t="shared" si="31"/>
        <v>0</v>
      </c>
      <c r="CG27" s="30">
        <f t="shared" si="32"/>
        <v>0</v>
      </c>
      <c r="CH27" s="30">
        <f t="shared" si="33"/>
        <v>0</v>
      </c>
      <c r="CI27" s="30">
        <f t="shared" si="34"/>
        <v>0</v>
      </c>
      <c r="CP27" s="49"/>
      <c r="CQ27" s="49"/>
      <c r="CR27" s="49"/>
      <c r="CS27" s="37"/>
      <c r="CT27" s="37"/>
      <c r="CU27" s="37"/>
    </row>
    <row r="28" spans="1:101" ht="15" x14ac:dyDescent="0.25">
      <c r="A28" s="81" t="s">
        <v>63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5"/>
      <c r="AD28" s="33" t="s">
        <v>24</v>
      </c>
      <c r="AE28" s="13">
        <f>((B$28/B$13)*$E$3)/308.5*(1/AE$4*1000)/3</f>
        <v>0</v>
      </c>
      <c r="AF28" s="13">
        <f>((C$28/C$13)*$E$3)/308.5*(1/AF$4*1000)/3</f>
        <v>0</v>
      </c>
      <c r="AG28" s="13">
        <f>((D$28/D$13)*$E$3)/308.5*(1/AG$4*1000)/3</f>
        <v>0</v>
      </c>
      <c r="AH28" s="13">
        <f>((E$28/E$13)*$E$3)/308.5*(1/AH$4*1000)/3</f>
        <v>0</v>
      </c>
      <c r="AI28" s="13">
        <f>((F$28/F$13)*$E$3)/308.5*(1/AI$4*1000)/3</f>
        <v>0</v>
      </c>
      <c r="AJ28" s="13">
        <f>((G$28/G$13)*$E$3)/308.5*(1/AJ$4*1000)/3</f>
        <v>0</v>
      </c>
      <c r="AK28" s="13">
        <f>((H$28/H$13)*$E$3)/308.5*(1/AK$4*1000)/3</f>
        <v>0</v>
      </c>
      <c r="AL28" s="13">
        <f>((I$28/I$13)*$E$3)/308.5*(1/AL$4*1000)/3</f>
        <v>0</v>
      </c>
      <c r="AM28" s="13">
        <f>((J$28/J$13)*$E$3)/308.5*(1/AM$4*1000)/3</f>
        <v>0</v>
      </c>
      <c r="AN28" s="13">
        <f>((K$28/K$13)*$E$3)/308.5*(1/AN$4*1000)/3</f>
        <v>0</v>
      </c>
      <c r="AO28" s="13">
        <f>((L$28/L$13)*$E$3)/308.5*(1/AO$4*1000)/3</f>
        <v>0</v>
      </c>
      <c r="AP28" s="13">
        <f>((M$28/M$13)*$E$3)/308.5*(1/AP$4*1000)/3</f>
        <v>0</v>
      </c>
      <c r="AQ28" s="13">
        <f>((N$28/N$13)*$E$3)/308.5*(1/AQ$4*1000)/3</f>
        <v>0</v>
      </c>
      <c r="AR28" s="13">
        <f>((O$28/O$13)*$E$3)/308.5*(1/AR$4*1000)/3</f>
        <v>0</v>
      </c>
      <c r="AS28" s="13">
        <f>((P$28/P$13)*$E$3)/308.5*(1/AS$4*1000)/3</f>
        <v>0</v>
      </c>
      <c r="AT28" s="13">
        <f>((Q$28/Q$13)*$E$3)/308.5*(1/AT$4*1000)/3</f>
        <v>0</v>
      </c>
      <c r="AU28" s="13">
        <f t="shared" ref="AU28:BE28" si="42">((R$28/R$13)*$E$3)/308.5*(1/AU$4*1000)/3</f>
        <v>0</v>
      </c>
      <c r="AV28" s="13">
        <f t="shared" si="42"/>
        <v>0</v>
      </c>
      <c r="AW28" s="13">
        <f t="shared" si="42"/>
        <v>0</v>
      </c>
      <c r="AX28" s="13">
        <f t="shared" si="42"/>
        <v>0</v>
      </c>
      <c r="AY28" s="13">
        <f t="shared" si="42"/>
        <v>0</v>
      </c>
      <c r="AZ28" s="13">
        <f t="shared" si="42"/>
        <v>0</v>
      </c>
      <c r="BA28" s="13">
        <f t="shared" si="42"/>
        <v>0</v>
      </c>
      <c r="BB28" s="13">
        <f t="shared" si="42"/>
        <v>0</v>
      </c>
      <c r="BC28" s="13">
        <f t="shared" si="42"/>
        <v>0</v>
      </c>
      <c r="BD28" s="13">
        <f t="shared" si="42"/>
        <v>0</v>
      </c>
      <c r="BE28" s="13">
        <f t="shared" si="42"/>
        <v>0</v>
      </c>
      <c r="BH28" s="28">
        <v>0.83472222222222225</v>
      </c>
      <c r="BI28" s="30">
        <f>AE28*100/AE$39</f>
        <v>0</v>
      </c>
      <c r="BJ28" s="30">
        <f>AF28*100/AF$39</f>
        <v>0</v>
      </c>
      <c r="BK28" s="30">
        <f>AG28*100/AG$39</f>
        <v>0</v>
      </c>
      <c r="BL28" s="30">
        <f>AH28*100/AH$39</f>
        <v>0</v>
      </c>
      <c r="BM28" s="30">
        <f>AI28*100/AI$39</f>
        <v>0</v>
      </c>
      <c r="BN28" s="30">
        <f>AJ28*100/AJ$39</f>
        <v>0</v>
      </c>
      <c r="BO28" s="30">
        <f>AK28*100/AK$39</f>
        <v>0</v>
      </c>
      <c r="BP28" s="30">
        <f>AL28*100/AL$39</f>
        <v>0</v>
      </c>
      <c r="BQ28" s="30">
        <f>AM28*100/AM$39</f>
        <v>0</v>
      </c>
      <c r="BR28" s="30">
        <f>AN28*100/AN$39</f>
        <v>0</v>
      </c>
      <c r="BS28" s="30">
        <f>AO28*100/AO$39</f>
        <v>0</v>
      </c>
      <c r="BT28" s="30">
        <f>AP28*100/AP$39</f>
        <v>0</v>
      </c>
      <c r="BU28" s="30">
        <f>AQ28*100/AQ$39</f>
        <v>0</v>
      </c>
      <c r="BV28" s="30">
        <f>AR28*100/AR$39</f>
        <v>0</v>
      </c>
      <c r="BW28" s="30">
        <f>AS28*100/AS$39</f>
        <v>0</v>
      </c>
      <c r="BX28" s="30">
        <f t="shared" si="23"/>
        <v>0</v>
      </c>
      <c r="BY28" s="30">
        <f t="shared" si="24"/>
        <v>0</v>
      </c>
      <c r="BZ28" s="30">
        <f t="shared" si="25"/>
        <v>0</v>
      </c>
      <c r="CA28" s="30">
        <f t="shared" si="26"/>
        <v>0</v>
      </c>
      <c r="CB28" s="30">
        <f t="shared" si="27"/>
        <v>0</v>
      </c>
      <c r="CC28" s="30">
        <f t="shared" si="28"/>
        <v>0</v>
      </c>
      <c r="CD28" s="30">
        <f t="shared" si="29"/>
        <v>0</v>
      </c>
      <c r="CE28" s="30">
        <f t="shared" si="30"/>
        <v>0</v>
      </c>
      <c r="CF28" s="30">
        <f t="shared" si="31"/>
        <v>0</v>
      </c>
      <c r="CG28" s="30">
        <f t="shared" si="32"/>
        <v>0</v>
      </c>
      <c r="CH28" s="30">
        <f t="shared" si="33"/>
        <v>0</v>
      </c>
      <c r="CI28" s="30">
        <f t="shared" si="34"/>
        <v>0</v>
      </c>
      <c r="CP28" s="37"/>
      <c r="CQ28" s="37"/>
      <c r="CR28" s="37"/>
      <c r="CS28" s="37"/>
      <c r="CT28" s="37"/>
      <c r="CU28" s="37"/>
    </row>
    <row r="29" spans="1:101" ht="15" x14ac:dyDescent="0.25">
      <c r="A29" s="81" t="s">
        <v>25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495.28160000000003</v>
      </c>
      <c r="I29" s="23">
        <v>617.20979999999997</v>
      </c>
      <c r="J29" s="23">
        <v>588.50689999999997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 t="s">
        <v>223</v>
      </c>
      <c r="AA29" s="23" t="s">
        <v>224</v>
      </c>
      <c r="AB29" s="23" t="s">
        <v>225</v>
      </c>
      <c r="AC29" s="25"/>
      <c r="AD29" s="33" t="s">
        <v>26</v>
      </c>
      <c r="AE29" s="13">
        <f>((B$29/B$13)*$E$3)/306.4*(1/AE$4*1000)/3</f>
        <v>0</v>
      </c>
      <c r="AF29" s="13">
        <f>((C$29/C$13)*$E$3)/306.4*(1/AF$4*1000)/3</f>
        <v>0</v>
      </c>
      <c r="AG29" s="13">
        <f>((D$29/D$13)*$E$3)/306.4*(1/AG$4*1000)/3</f>
        <v>0</v>
      </c>
      <c r="AH29" s="13">
        <f>((E$29/E$13)*$E$3)/306.4*(1/AH$4*1000)/3</f>
        <v>0</v>
      </c>
      <c r="AI29" s="13">
        <f>((F$29/F$13)*$E$3)/306.4*(1/AI$4*1000)/3</f>
        <v>0</v>
      </c>
      <c r="AJ29" s="13">
        <f>((G$29/G$13)*$E$3)/306.4*(1/AJ$4*1000)/3</f>
        <v>0</v>
      </c>
      <c r="AK29" s="13">
        <f>((H$29/H$13)*$E$3)/306.4*(1/AK$4*1000)/3</f>
        <v>27.324036704348643</v>
      </c>
      <c r="AL29" s="13">
        <f>((I$29/I$13)*$E$3)/306.4*(1/AL$4*1000)/3</f>
        <v>32.803620376670274</v>
      </c>
      <c r="AM29" s="13">
        <f>((J$29/J$13)*$E$3)/306.4*(1/AM$4*1000)/3</f>
        <v>34.701802571912545</v>
      </c>
      <c r="AN29" s="13">
        <f>((K$29/K$13)*$E$3)/306.4*(1/AN$4*1000)/3</f>
        <v>0</v>
      </c>
      <c r="AO29" s="13">
        <f>((L$29/L$13)*$E$3)/306.4*(1/AO$4*1000)/3</f>
        <v>0</v>
      </c>
      <c r="AP29" s="13">
        <f>((M$29/M$13)*$E$3)/306.4*(1/AP$4*1000)/3</f>
        <v>0</v>
      </c>
      <c r="AQ29" s="13">
        <f>((N$29/N$13)*$E$3)/306.4*(1/AQ$4*1000)/3</f>
        <v>0</v>
      </c>
      <c r="AR29" s="13">
        <f>((O$29/O$13)*$E$3)/306.4*(1/AR$4*1000)/3</f>
        <v>0</v>
      </c>
      <c r="AS29" s="13">
        <f>((P$29/P$13)*$E$3)/306.4*(1/AS$4*1000)/3</f>
        <v>0</v>
      </c>
      <c r="AT29" s="13">
        <f>((Q$29/Q$13)*$E$3)/306.4*(1/AT$4*1000)/3</f>
        <v>0</v>
      </c>
      <c r="AU29" s="13">
        <f t="shared" ref="AU29:BE29" si="43">((R$29/R$13)*$E$3)/306.4*(1/AU$4*1000)/3</f>
        <v>0</v>
      </c>
      <c r="AV29" s="13">
        <f t="shared" si="43"/>
        <v>0</v>
      </c>
      <c r="AW29" s="13">
        <f t="shared" si="43"/>
        <v>0</v>
      </c>
      <c r="AX29" s="13">
        <f t="shared" si="43"/>
        <v>0</v>
      </c>
      <c r="AY29" s="13">
        <f t="shared" si="43"/>
        <v>0</v>
      </c>
      <c r="AZ29" s="13">
        <f t="shared" si="43"/>
        <v>0</v>
      </c>
      <c r="BA29" s="13">
        <f t="shared" si="43"/>
        <v>0</v>
      </c>
      <c r="BB29" s="13">
        <f t="shared" si="43"/>
        <v>0</v>
      </c>
      <c r="BC29" s="13">
        <f t="shared" si="43"/>
        <v>46.878050589542347</v>
      </c>
      <c r="BD29" s="13">
        <f t="shared" si="43"/>
        <v>57.184327363219836</v>
      </c>
      <c r="BE29" s="13">
        <f t="shared" si="43"/>
        <v>59.182684171114197</v>
      </c>
      <c r="BH29" s="32" t="s">
        <v>25</v>
      </c>
      <c r="BI29" s="30">
        <f>AE29*100/AE$39</f>
        <v>0</v>
      </c>
      <c r="BJ29" s="30">
        <f>AF29*100/AF$39</f>
        <v>0</v>
      </c>
      <c r="BK29" s="30">
        <f>AG29*100/AG$39</f>
        <v>0</v>
      </c>
      <c r="BL29" s="30">
        <f>AH29*100/AH$39</f>
        <v>0</v>
      </c>
      <c r="BM29" s="30">
        <f>AI29*100/AI$39</f>
        <v>0</v>
      </c>
      <c r="BN29" s="30">
        <f>AJ29*100/AJ$39</f>
        <v>0</v>
      </c>
      <c r="BO29" s="30">
        <f>AK29*100/AK$39</f>
        <v>0.90831810508744093</v>
      </c>
      <c r="BP29" s="30">
        <f>AL29*100/AL$39</f>
        <v>0.94469644075679304</v>
      </c>
      <c r="BQ29" s="30">
        <f>AM29*100/AM$39</f>
        <v>0.96346577279142465</v>
      </c>
      <c r="BR29" s="30">
        <f>AN29*100/AN$39</f>
        <v>0</v>
      </c>
      <c r="BS29" s="30">
        <f>AO29*100/AO$39</f>
        <v>0</v>
      </c>
      <c r="BT29" s="30">
        <f>AP29*100/AP$39</f>
        <v>0</v>
      </c>
      <c r="BU29" s="30">
        <f>AQ29*100/AQ$39</f>
        <v>0</v>
      </c>
      <c r="BV29" s="30">
        <f>AR29*100/AR$39</f>
        <v>0</v>
      </c>
      <c r="BW29" s="30">
        <f>AS29*100/AS$39</f>
        <v>0</v>
      </c>
      <c r="BX29" s="30">
        <f t="shared" si="23"/>
        <v>0</v>
      </c>
      <c r="BY29" s="30">
        <f t="shared" si="24"/>
        <v>0</v>
      </c>
      <c r="BZ29" s="30">
        <f t="shared" si="25"/>
        <v>0</v>
      </c>
      <c r="CA29" s="30">
        <f t="shared" si="26"/>
        <v>0</v>
      </c>
      <c r="CB29" s="30">
        <f t="shared" si="27"/>
        <v>0</v>
      </c>
      <c r="CC29" s="30">
        <f t="shared" si="28"/>
        <v>0</v>
      </c>
      <c r="CD29" s="30">
        <f t="shared" si="29"/>
        <v>0</v>
      </c>
      <c r="CE29" s="30">
        <f t="shared" si="30"/>
        <v>0</v>
      </c>
      <c r="CF29" s="30">
        <f t="shared" si="31"/>
        <v>0</v>
      </c>
      <c r="CG29" s="30">
        <f t="shared" si="32"/>
        <v>1.3144027322736231</v>
      </c>
      <c r="CH29" s="30">
        <f t="shared" si="33"/>
        <v>1.3673536724022255</v>
      </c>
      <c r="CI29" s="30">
        <f t="shared" si="34"/>
        <v>1.3848474125581405</v>
      </c>
      <c r="CP29" s="37"/>
      <c r="CQ29" s="37"/>
      <c r="CR29" s="37"/>
      <c r="CS29" s="37"/>
      <c r="CT29" s="37"/>
      <c r="CU29" s="37"/>
    </row>
    <row r="30" spans="1:101" ht="15" x14ac:dyDescent="0.25">
      <c r="A30" s="81" t="s">
        <v>64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5"/>
      <c r="AD30" s="33" t="s">
        <v>26</v>
      </c>
      <c r="AE30" s="13">
        <f>((B$30/B$13)*$E$3)/306.4*(1/AE$4*1000)/3</f>
        <v>0</v>
      </c>
      <c r="AF30" s="13">
        <f>((C$30/C$13)*$E$3)/306.4*(1/AF$4*1000)/3</f>
        <v>0</v>
      </c>
      <c r="AG30" s="13">
        <f>((D$30/D$13)*$E$3)/306.4*(1/AG$4*1000)/3</f>
        <v>0</v>
      </c>
      <c r="AH30" s="13">
        <f>((E$30/E$13)*$E$3)/306.4*(1/AH$4*1000)/3</f>
        <v>0</v>
      </c>
      <c r="AI30" s="13">
        <f>((F$30/F$13)*$E$3)/306.4*(1/AI$4*1000)/3</f>
        <v>0</v>
      </c>
      <c r="AJ30" s="13">
        <f>((G$30/G$13)*$E$3)/306.4*(1/AJ$4*1000)/3</f>
        <v>0</v>
      </c>
      <c r="AK30" s="13">
        <f>((H$30/H$13)*$E$3)/306.4*(1/AK$4*1000)/3</f>
        <v>0</v>
      </c>
      <c r="AL30" s="13">
        <f>((I$30/I$13)*$E$3)/306.4*(1/AL$4*1000)/3</f>
        <v>0</v>
      </c>
      <c r="AM30" s="13">
        <f>((J$30/J$13)*$E$3)/306.4*(1/AM$4*1000)/3</f>
        <v>0</v>
      </c>
      <c r="AN30" s="13">
        <f>((K$30/K$13)*$E$3)/306.4*(1/AN$4*1000)/3</f>
        <v>0</v>
      </c>
      <c r="AO30" s="13">
        <f>((L$30/L$13)*$E$3)/306.4*(1/AO$4*1000)/3</f>
        <v>0</v>
      </c>
      <c r="AP30" s="13">
        <f>((M$30/M$13)*$E$3)/306.4*(1/AP$4*1000)/3</f>
        <v>0</v>
      </c>
      <c r="AQ30" s="13">
        <f>((N$30/N$13)*$E$3)/306.4*(1/AQ$4*1000)/3</f>
        <v>0</v>
      </c>
      <c r="AR30" s="13">
        <f>((O$30/O$13)*$E$3)/306.4*(1/AR$4*1000)/3</f>
        <v>0</v>
      </c>
      <c r="AS30" s="13">
        <f>((P$30/P$13)*$E$3)/306.4*(1/AS$4*1000)/3</f>
        <v>0</v>
      </c>
      <c r="AT30" s="13">
        <f>((Q$30/Q$13)*$E$3)/306.4*(1/AT$4*1000)/3</f>
        <v>0</v>
      </c>
      <c r="AU30" s="13">
        <f t="shared" ref="AU30:BE30" si="44">((R$30/R$13)*$E$3)/306.4*(1/AU$4*1000)/3</f>
        <v>0</v>
      </c>
      <c r="AV30" s="13">
        <f t="shared" si="44"/>
        <v>0</v>
      </c>
      <c r="AW30" s="13">
        <f t="shared" si="44"/>
        <v>0</v>
      </c>
      <c r="AX30" s="13">
        <f t="shared" si="44"/>
        <v>0</v>
      </c>
      <c r="AY30" s="13">
        <f t="shared" si="44"/>
        <v>0</v>
      </c>
      <c r="AZ30" s="13">
        <f t="shared" si="44"/>
        <v>0</v>
      </c>
      <c r="BA30" s="13">
        <f t="shared" si="44"/>
        <v>0</v>
      </c>
      <c r="BB30" s="13">
        <f t="shared" si="44"/>
        <v>0</v>
      </c>
      <c r="BC30" s="13">
        <f t="shared" si="44"/>
        <v>0</v>
      </c>
      <c r="BD30" s="13">
        <f t="shared" si="44"/>
        <v>0</v>
      </c>
      <c r="BE30" s="13">
        <f t="shared" si="44"/>
        <v>0</v>
      </c>
      <c r="BH30" s="28">
        <v>0.8354166666666667</v>
      </c>
      <c r="BI30" s="30">
        <f>AE30*100/AE$39</f>
        <v>0</v>
      </c>
      <c r="BJ30" s="30">
        <f>AF30*100/AF$39</f>
        <v>0</v>
      </c>
      <c r="BK30" s="30">
        <f>AG30*100/AG$39</f>
        <v>0</v>
      </c>
      <c r="BL30" s="30">
        <f>AH30*100/AH$39</f>
        <v>0</v>
      </c>
      <c r="BM30" s="30">
        <f>AI30*100/AI$39</f>
        <v>0</v>
      </c>
      <c r="BN30" s="30">
        <f>AJ30*100/AJ$39</f>
        <v>0</v>
      </c>
      <c r="BO30" s="30">
        <f>AK30*100/AK$39</f>
        <v>0</v>
      </c>
      <c r="BP30" s="30">
        <f>AL30*100/AL$39</f>
        <v>0</v>
      </c>
      <c r="BQ30" s="30">
        <f>AM30*100/AM$39</f>
        <v>0</v>
      </c>
      <c r="BR30" s="30">
        <f>AN30*100/AN$39</f>
        <v>0</v>
      </c>
      <c r="BS30" s="30">
        <f>AO30*100/AO$39</f>
        <v>0</v>
      </c>
      <c r="BT30" s="30">
        <f>AP30*100/AP$39</f>
        <v>0</v>
      </c>
      <c r="BU30" s="30">
        <f>AQ30*100/AQ$39</f>
        <v>0</v>
      </c>
      <c r="BV30" s="30">
        <f>AR30*100/AR$39</f>
        <v>0</v>
      </c>
      <c r="BW30" s="30">
        <f>AS30*100/AS$39</f>
        <v>0</v>
      </c>
      <c r="BX30" s="30">
        <f t="shared" si="23"/>
        <v>0</v>
      </c>
      <c r="BY30" s="30">
        <f t="shared" si="24"/>
        <v>0</v>
      </c>
      <c r="BZ30" s="30">
        <f t="shared" si="25"/>
        <v>0</v>
      </c>
      <c r="CA30" s="30">
        <f t="shared" si="26"/>
        <v>0</v>
      </c>
      <c r="CB30" s="30">
        <f t="shared" si="27"/>
        <v>0</v>
      </c>
      <c r="CC30" s="30">
        <f t="shared" si="28"/>
        <v>0</v>
      </c>
      <c r="CD30" s="30">
        <f t="shared" si="29"/>
        <v>0</v>
      </c>
      <c r="CE30" s="30">
        <f t="shared" si="30"/>
        <v>0</v>
      </c>
      <c r="CF30" s="30">
        <f t="shared" si="31"/>
        <v>0</v>
      </c>
      <c r="CG30" s="30">
        <f t="shared" si="32"/>
        <v>0</v>
      </c>
      <c r="CH30" s="30">
        <f t="shared" si="33"/>
        <v>0</v>
      </c>
      <c r="CI30" s="30">
        <f t="shared" si="34"/>
        <v>0</v>
      </c>
      <c r="CP30" s="50"/>
      <c r="CQ30" s="50"/>
      <c r="CR30" s="50"/>
      <c r="CS30" s="50"/>
      <c r="CT30" s="37"/>
      <c r="CU30" s="37"/>
    </row>
    <row r="31" spans="1:101" ht="15" x14ac:dyDescent="0.25">
      <c r="A31" s="81" t="s">
        <v>65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831.80359999999996</v>
      </c>
      <c r="I31" s="23">
        <v>939.56179999999995</v>
      </c>
      <c r="J31" s="23">
        <v>839.29369999999994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5"/>
      <c r="AD31" s="33" t="s">
        <v>27</v>
      </c>
      <c r="AE31" s="13">
        <f>((B$31/B$13)*$E$3)/304.4*(1/AE$4*1000)/3</f>
        <v>0</v>
      </c>
      <c r="AF31" s="13">
        <f>((C$31/C$13)*$E$3)/304.4*(1/AF$4*1000)/3</f>
        <v>0</v>
      </c>
      <c r="AG31" s="13">
        <f>((D$31/D$13)*$E$3)/304.4*(1/AG$4*1000)/3</f>
        <v>0</v>
      </c>
      <c r="AH31" s="13">
        <f>((E$31/E$13)*$E$3)/304.4*(1/AH$4*1000)/3</f>
        <v>0</v>
      </c>
      <c r="AI31" s="13">
        <f>((F$31/F$13)*$E$3)/304.4*(1/AI$4*1000)/3</f>
        <v>0</v>
      </c>
      <c r="AJ31" s="13">
        <f>((G$31/G$13)*$E$3)/304.4*(1/AJ$4*1000)/3</f>
        <v>0</v>
      </c>
      <c r="AK31" s="13">
        <f>((H$31/H$13)*$E$3)/304.4*(1/AK$4*1000)/3</f>
        <v>46.191022342300393</v>
      </c>
      <c r="AL31" s="13">
        <f>((I$31/I$13)*$E$3)/304.4*(1/AL$4*1000)/3</f>
        <v>50.264159902731357</v>
      </c>
      <c r="AM31" s="13">
        <f>((J$31/J$13)*$E$3)/304.4*(1/AM$4*1000)/3</f>
        <v>49.81481841235037</v>
      </c>
      <c r="AN31" s="13">
        <f>((K$31/K$13)*$E$3)/304.4*(1/AN$4*1000)/3</f>
        <v>0</v>
      </c>
      <c r="AO31" s="13">
        <f>((L$31/L$13)*$E$3)/304.4*(1/AO$4*1000)/3</f>
        <v>0</v>
      </c>
      <c r="AP31" s="13">
        <f>((M$31/M$13)*$E$3)/304.4*(1/AP$4*1000)/3</f>
        <v>0</v>
      </c>
      <c r="AQ31" s="13">
        <f>((N$31/N$13)*$E$3)/304.4*(1/AQ$4*1000)/3</f>
        <v>0</v>
      </c>
      <c r="AR31" s="13">
        <f>((O$31/O$13)*$E$3)/304.4*(1/AR$4*1000)/3</f>
        <v>0</v>
      </c>
      <c r="AS31" s="13">
        <f>((P$31/P$13)*$E$3)/304.4*(1/AS$4*1000)/3</f>
        <v>0</v>
      </c>
      <c r="AT31" s="13">
        <f>((Q$31/Q$13)*$E$3)/304.4*(1/AT$4*1000)/3</f>
        <v>0</v>
      </c>
      <c r="AU31" s="13">
        <f t="shared" ref="AU31:BE31" si="45">((R$31/R$13)*$E$3)/304.4*(1/AU$4*1000)/3</f>
        <v>0</v>
      </c>
      <c r="AV31" s="13">
        <f t="shared" si="45"/>
        <v>0</v>
      </c>
      <c r="AW31" s="13">
        <f t="shared" si="45"/>
        <v>0</v>
      </c>
      <c r="AX31" s="13">
        <f t="shared" si="45"/>
        <v>0</v>
      </c>
      <c r="AY31" s="13">
        <f t="shared" si="45"/>
        <v>0</v>
      </c>
      <c r="AZ31" s="13">
        <f t="shared" si="45"/>
        <v>0</v>
      </c>
      <c r="BA31" s="13">
        <f t="shared" si="45"/>
        <v>0</v>
      </c>
      <c r="BB31" s="13">
        <f t="shared" si="45"/>
        <v>0</v>
      </c>
      <c r="BC31" s="13">
        <f t="shared" si="45"/>
        <v>0</v>
      </c>
      <c r="BD31" s="13">
        <f t="shared" si="45"/>
        <v>0</v>
      </c>
      <c r="BE31" s="13">
        <f t="shared" si="45"/>
        <v>0</v>
      </c>
      <c r="BH31" s="28">
        <v>0.83611111111111114</v>
      </c>
      <c r="BI31" s="30">
        <f>AE31*100/AE$39</f>
        <v>0</v>
      </c>
      <c r="BJ31" s="30">
        <f>AF31*100/AF$39</f>
        <v>0</v>
      </c>
      <c r="BK31" s="30">
        <f>AG31*100/AG$39</f>
        <v>0</v>
      </c>
      <c r="BL31" s="30">
        <f>AH31*100/AH$39</f>
        <v>0</v>
      </c>
      <c r="BM31" s="30">
        <f>AI31*100/AI$39</f>
        <v>0</v>
      </c>
      <c r="BN31" s="30">
        <f>AJ31*100/AJ$39</f>
        <v>0</v>
      </c>
      <c r="BO31" s="30">
        <f>AK31*100/AK$39</f>
        <v>1.5355030568866344</v>
      </c>
      <c r="BP31" s="30">
        <f>AL31*100/AL$39</f>
        <v>1.4475345224855487</v>
      </c>
      <c r="BQ31" s="30">
        <f>AM31*100/AM$39</f>
        <v>1.3830656899929006</v>
      </c>
      <c r="BR31" s="30">
        <f>AN31*100/AN$39</f>
        <v>0</v>
      </c>
      <c r="BS31" s="30">
        <f>AO31*100/AO$39</f>
        <v>0</v>
      </c>
      <c r="BT31" s="30">
        <f>AP31*100/AP$39</f>
        <v>0</v>
      </c>
      <c r="BU31" s="30">
        <f>AQ31*100/AQ$39</f>
        <v>0</v>
      </c>
      <c r="BV31" s="30">
        <f>AR31*100/AR$39</f>
        <v>0</v>
      </c>
      <c r="BW31" s="30">
        <f>AS31*100/AS$39</f>
        <v>0</v>
      </c>
      <c r="BX31" s="30">
        <f t="shared" si="23"/>
        <v>0</v>
      </c>
      <c r="BY31" s="30">
        <f t="shared" si="24"/>
        <v>0</v>
      </c>
      <c r="BZ31" s="30">
        <f t="shared" si="25"/>
        <v>0</v>
      </c>
      <c r="CA31" s="30">
        <f t="shared" si="26"/>
        <v>0</v>
      </c>
      <c r="CB31" s="30">
        <f t="shared" si="27"/>
        <v>0</v>
      </c>
      <c r="CC31" s="30">
        <f t="shared" si="28"/>
        <v>0</v>
      </c>
      <c r="CD31" s="30">
        <f t="shared" si="29"/>
        <v>0</v>
      </c>
      <c r="CE31" s="30">
        <f t="shared" si="30"/>
        <v>0</v>
      </c>
      <c r="CF31" s="30">
        <f t="shared" si="31"/>
        <v>0</v>
      </c>
      <c r="CG31" s="30">
        <f t="shared" si="32"/>
        <v>0</v>
      </c>
      <c r="CH31" s="30">
        <f t="shared" si="33"/>
        <v>0</v>
      </c>
      <c r="CI31" s="30">
        <f t="shared" si="34"/>
        <v>0</v>
      </c>
      <c r="CP31" s="49"/>
      <c r="CQ31" s="49"/>
      <c r="CR31" s="49"/>
      <c r="CS31" s="49"/>
      <c r="CT31" s="37"/>
      <c r="CU31" s="37"/>
    </row>
    <row r="32" spans="1:101" ht="15" x14ac:dyDescent="0.25">
      <c r="A32" s="81" t="s">
        <v>66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5"/>
      <c r="AD32" s="33" t="s">
        <v>28</v>
      </c>
      <c r="AE32" s="13">
        <f>((B$32/B$13)*$E$3)/302.5*(1/AE$4*1000)/3</f>
        <v>0</v>
      </c>
      <c r="AF32" s="13">
        <f>((C$32/C$13)*$E$3)/302.5*(1/AF$4*1000)/3</f>
        <v>0</v>
      </c>
      <c r="AG32" s="13">
        <f>((D$32/D$13)*$E$3)/302.5*(1/AG$4*1000)/3</f>
        <v>0</v>
      </c>
      <c r="AH32" s="13">
        <f>((E$32/E$13)*$E$3)/302.5*(1/AH$4*1000)/3</f>
        <v>0</v>
      </c>
      <c r="AI32" s="13">
        <f>((F$32/F$13)*$E$3)/302.5*(1/AI$4*1000)/3</f>
        <v>0</v>
      </c>
      <c r="AJ32" s="13">
        <f>((G$32/G$13)*$E$3)/302.5*(1/AJ$4*1000)/3</f>
        <v>0</v>
      </c>
      <c r="AK32" s="13">
        <f>((H$32/H$13)*$E$3)/302.5*(1/AK$4*1000)/3</f>
        <v>0</v>
      </c>
      <c r="AL32" s="13">
        <f>((I$32/I$13)*$E$3)/302.5*(1/AL$4*1000)/3</f>
        <v>0</v>
      </c>
      <c r="AM32" s="13">
        <f>((J$32/J$13)*$E$3)/302.5*(1/AM$4*1000)/3</f>
        <v>0</v>
      </c>
      <c r="AN32" s="13">
        <f>((K$32/K$13)*$E$3)/302.5*(1/AN$4*1000)/3</f>
        <v>0</v>
      </c>
      <c r="AO32" s="13">
        <f>((L$32/L$13)*$E$3)/302.5*(1/AO$4*1000)/3</f>
        <v>0</v>
      </c>
      <c r="AP32" s="13">
        <f>((M$32/M$13)*$E$3)/302.5*(1/AP$4*1000)/3</f>
        <v>0</v>
      </c>
      <c r="AQ32" s="13">
        <f>((N$32/N$13)*$E$3)/302.5*(1/AQ$4*1000)/3</f>
        <v>0</v>
      </c>
      <c r="AR32" s="13">
        <f>((O$32/O$13)*$E$3)/302.5*(1/AR$4*1000)/3</f>
        <v>0</v>
      </c>
      <c r="AS32" s="13">
        <f>((P$32/P$13)*$E$3)/302.5*(1/AS$4*1000)/3</f>
        <v>0</v>
      </c>
      <c r="AT32" s="13">
        <f>((Q$32/Q$13)*$E$3)/302.5*(1/AT$4*1000)/3</f>
        <v>0</v>
      </c>
      <c r="AU32" s="13">
        <f t="shared" ref="AU32:BE32" si="46">((R$32/R$13)*$E$3)/302.5*(1/AU$4*1000)/3</f>
        <v>0</v>
      </c>
      <c r="AV32" s="13">
        <f t="shared" si="46"/>
        <v>0</v>
      </c>
      <c r="AW32" s="13">
        <f t="shared" si="46"/>
        <v>0</v>
      </c>
      <c r="AX32" s="13">
        <f t="shared" si="46"/>
        <v>0</v>
      </c>
      <c r="AY32" s="13">
        <f t="shared" si="46"/>
        <v>0</v>
      </c>
      <c r="AZ32" s="13">
        <f t="shared" si="46"/>
        <v>0</v>
      </c>
      <c r="BA32" s="13">
        <f t="shared" si="46"/>
        <v>0</v>
      </c>
      <c r="BB32" s="13">
        <f t="shared" si="46"/>
        <v>0</v>
      </c>
      <c r="BC32" s="13">
        <f t="shared" si="46"/>
        <v>0</v>
      </c>
      <c r="BD32" s="13">
        <f t="shared" si="46"/>
        <v>0</v>
      </c>
      <c r="BE32" s="13">
        <f t="shared" si="46"/>
        <v>0</v>
      </c>
      <c r="BH32" s="28">
        <v>0.83680555555555547</v>
      </c>
      <c r="BI32" s="30">
        <f>AE32*100/AE$39</f>
        <v>0</v>
      </c>
      <c r="BJ32" s="30">
        <f>AF32*100/AF$39</f>
        <v>0</v>
      </c>
      <c r="BK32" s="30">
        <f>AG32*100/AG$39</f>
        <v>0</v>
      </c>
      <c r="BL32" s="30">
        <f>AH32*100/AH$39</f>
        <v>0</v>
      </c>
      <c r="BM32" s="30">
        <f>AI32*100/AI$39</f>
        <v>0</v>
      </c>
      <c r="BN32" s="30">
        <f>AJ32*100/AJ$39</f>
        <v>0</v>
      </c>
      <c r="BO32" s="30">
        <f>AK32*100/AK$39</f>
        <v>0</v>
      </c>
      <c r="BP32" s="30">
        <f>AL32*100/AL$39</f>
        <v>0</v>
      </c>
      <c r="BQ32" s="30">
        <f>AM32*100/AM$39</f>
        <v>0</v>
      </c>
      <c r="BR32" s="30">
        <f>AN32*100/AN$39</f>
        <v>0</v>
      </c>
      <c r="BS32" s="30">
        <f>AO32*100/AO$39</f>
        <v>0</v>
      </c>
      <c r="BT32" s="30">
        <f>AP32*100/AP$39</f>
        <v>0</v>
      </c>
      <c r="BU32" s="30">
        <f>AQ32*100/AQ$39</f>
        <v>0</v>
      </c>
      <c r="BV32" s="30">
        <f>AR32*100/AR$39</f>
        <v>0</v>
      </c>
      <c r="BW32" s="30">
        <f>AS32*100/AS$39</f>
        <v>0</v>
      </c>
      <c r="BX32" s="30">
        <f t="shared" si="23"/>
        <v>0</v>
      </c>
      <c r="BY32" s="30">
        <f t="shared" si="24"/>
        <v>0</v>
      </c>
      <c r="BZ32" s="30">
        <f t="shared" si="25"/>
        <v>0</v>
      </c>
      <c r="CA32" s="30">
        <f t="shared" si="26"/>
        <v>0</v>
      </c>
      <c r="CB32" s="30">
        <f t="shared" si="27"/>
        <v>0</v>
      </c>
      <c r="CC32" s="30">
        <f t="shared" si="28"/>
        <v>0</v>
      </c>
      <c r="CD32" s="30">
        <f t="shared" si="29"/>
        <v>0</v>
      </c>
      <c r="CE32" s="30">
        <f t="shared" si="30"/>
        <v>0</v>
      </c>
      <c r="CF32" s="30">
        <f t="shared" si="31"/>
        <v>0</v>
      </c>
      <c r="CG32" s="30">
        <f t="shared" si="32"/>
        <v>0</v>
      </c>
      <c r="CH32" s="30">
        <f t="shared" si="33"/>
        <v>0</v>
      </c>
      <c r="CI32" s="30">
        <f t="shared" si="34"/>
        <v>0</v>
      </c>
      <c r="CP32" s="49"/>
      <c r="CQ32" s="49"/>
      <c r="CR32" s="49"/>
      <c r="CS32" s="49"/>
      <c r="CT32" s="37"/>
      <c r="CU32" s="37"/>
    </row>
    <row r="33" spans="1:99" ht="15" x14ac:dyDescent="0.25">
      <c r="A33" s="81" t="s">
        <v>53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5"/>
      <c r="AD33" s="28">
        <v>0.91666666666666663</v>
      </c>
      <c r="AE33" s="13">
        <f>((B$33/B$13)*$E$3)/340.5*(1/AE$4*1000)/3</f>
        <v>0</v>
      </c>
      <c r="AF33" s="13">
        <f>((C$33/C$13)*$E$3)/340.5*(1/AF$4*1000)/3</f>
        <v>0</v>
      </c>
      <c r="AG33" s="13">
        <f>((D$33/D$13)*$E$3)/340.5*(1/AG$4*1000)/3</f>
        <v>0</v>
      </c>
      <c r="AH33" s="13">
        <f>((E$33/E$13)*$E$3)/340.5*(1/AH$4*1000)/3</f>
        <v>0</v>
      </c>
      <c r="AI33" s="13">
        <f>((F$33/F$13)*$E$3)/340.5*(1/AI$4*1000)/3</f>
        <v>0</v>
      </c>
      <c r="AJ33" s="13">
        <f>((G$33/G$13)*$E$3)/340.5*(1/AJ$4*1000)/3</f>
        <v>0</v>
      </c>
      <c r="AK33" s="13">
        <f>((H$33/H$13)*$E$3)/340.5*(1/AK$4*1000)/3</f>
        <v>0</v>
      </c>
      <c r="AL33" s="13">
        <f>((I$33/I$13)*$E$3)/340.5*(1/AL$4*1000)/3</f>
        <v>0</v>
      </c>
      <c r="AM33" s="13">
        <f>((J$33/J$13)*$E$3)/340.5*(1/AM$4*1000)/3</f>
        <v>0</v>
      </c>
      <c r="AN33" s="13">
        <f>((K$33/K$13)*$E$3)/340.5*(1/AN$4*1000)/3</f>
        <v>0</v>
      </c>
      <c r="AO33" s="13">
        <f>((L$33/L$13)*$E$3)/340.5*(1/AO$4*1000)/3</f>
        <v>0</v>
      </c>
      <c r="AP33" s="13">
        <f>((M$33/M$13)*$E$3)/340.5*(1/AP$4*1000)/3</f>
        <v>0</v>
      </c>
      <c r="AQ33" s="13">
        <f>((N$33/N$13)*$E$3)/340.5*(1/AQ$4*1000)/3</f>
        <v>0</v>
      </c>
      <c r="AR33" s="13">
        <f>((O$33/O$13)*$E$3)/340.5*(1/AR$4*1000)/3</f>
        <v>0</v>
      </c>
      <c r="AS33" s="13">
        <f>((P$33/P$13)*$E$3)/340.5*(1/AS$4*1000)/3</f>
        <v>0</v>
      </c>
      <c r="AT33" s="13">
        <f>((Q$33/Q$13)*$E$3)/340.5*(1/AT$4*1000)/3</f>
        <v>0</v>
      </c>
      <c r="AU33" s="13">
        <f t="shared" ref="AU33:BE33" si="47">((R$33/R$13)*$E$3)/340.5*(1/AU$4*1000)/3</f>
        <v>0</v>
      </c>
      <c r="AV33" s="13">
        <f t="shared" si="47"/>
        <v>0</v>
      </c>
      <c r="AW33" s="13">
        <f t="shared" si="47"/>
        <v>0</v>
      </c>
      <c r="AX33" s="13">
        <f t="shared" si="47"/>
        <v>0</v>
      </c>
      <c r="AY33" s="13">
        <f t="shared" si="47"/>
        <v>0</v>
      </c>
      <c r="AZ33" s="13">
        <f t="shared" si="47"/>
        <v>0</v>
      </c>
      <c r="BA33" s="13">
        <f t="shared" si="47"/>
        <v>0</v>
      </c>
      <c r="BB33" s="13">
        <f t="shared" si="47"/>
        <v>0</v>
      </c>
      <c r="BC33" s="13">
        <f t="shared" si="47"/>
        <v>0</v>
      </c>
      <c r="BD33" s="13">
        <f t="shared" si="47"/>
        <v>0</v>
      </c>
      <c r="BE33" s="13">
        <f t="shared" si="47"/>
        <v>0</v>
      </c>
      <c r="BH33" s="28">
        <v>0.91666666666666663</v>
      </c>
      <c r="BI33" s="30">
        <f>AE33*100/AE$39</f>
        <v>0</v>
      </c>
      <c r="BJ33" s="30">
        <f>AF33*100/AF$39</f>
        <v>0</v>
      </c>
      <c r="BK33" s="30">
        <f>AG33*100/AG$39</f>
        <v>0</v>
      </c>
      <c r="BL33" s="30">
        <f>AH33*100/AH$39</f>
        <v>0</v>
      </c>
      <c r="BM33" s="30">
        <f>AI33*100/AI$39</f>
        <v>0</v>
      </c>
      <c r="BN33" s="30">
        <f>AJ33*100/AJ$39</f>
        <v>0</v>
      </c>
      <c r="BO33" s="30">
        <f>AK33*100/AK$39</f>
        <v>0</v>
      </c>
      <c r="BP33" s="30">
        <f>AL33*100/AL$39</f>
        <v>0</v>
      </c>
      <c r="BQ33" s="30">
        <f>AM33*100/AM$39</f>
        <v>0</v>
      </c>
      <c r="BR33" s="30">
        <f>AN33*100/AN$39</f>
        <v>0</v>
      </c>
      <c r="BS33" s="30">
        <f>AO33*100/AO$39</f>
        <v>0</v>
      </c>
      <c r="BT33" s="30">
        <f>AP33*100/AP$39</f>
        <v>0</v>
      </c>
      <c r="BU33" s="30">
        <f>AQ33*100/AQ$39</f>
        <v>0</v>
      </c>
      <c r="BV33" s="30">
        <f>AR33*100/AR$39</f>
        <v>0</v>
      </c>
      <c r="BW33" s="30">
        <f>AS33*100/AS$39</f>
        <v>0</v>
      </c>
      <c r="BX33" s="30">
        <f t="shared" si="23"/>
        <v>0</v>
      </c>
      <c r="BY33" s="30">
        <f t="shared" si="24"/>
        <v>0</v>
      </c>
      <c r="BZ33" s="30">
        <f t="shared" si="25"/>
        <v>0</v>
      </c>
      <c r="CA33" s="30">
        <f t="shared" si="26"/>
        <v>0</v>
      </c>
      <c r="CB33" s="30">
        <f t="shared" si="27"/>
        <v>0</v>
      </c>
      <c r="CC33" s="30">
        <f t="shared" si="28"/>
        <v>0</v>
      </c>
      <c r="CD33" s="30">
        <f t="shared" si="29"/>
        <v>0</v>
      </c>
      <c r="CE33" s="30">
        <f t="shared" si="30"/>
        <v>0</v>
      </c>
      <c r="CF33" s="30">
        <f t="shared" si="31"/>
        <v>0</v>
      </c>
      <c r="CG33" s="30">
        <f t="shared" si="32"/>
        <v>0</v>
      </c>
      <c r="CH33" s="30">
        <f t="shared" si="33"/>
        <v>0</v>
      </c>
      <c r="CI33" s="30">
        <f t="shared" si="34"/>
        <v>0</v>
      </c>
      <c r="CP33" s="49"/>
      <c r="CQ33" s="49"/>
      <c r="CR33" s="49"/>
      <c r="CS33" s="49"/>
      <c r="CT33" s="37"/>
      <c r="CU33" s="37"/>
    </row>
    <row r="34" spans="1:99" ht="15" x14ac:dyDescent="0.25">
      <c r="A34" s="81" t="s">
        <v>67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5"/>
      <c r="AD34" s="28">
        <v>0.91736111111111107</v>
      </c>
      <c r="AE34" s="18">
        <f>((B$34/B$13)*$E$3)/338.5*(1/AE$4*1000)/3</f>
        <v>0</v>
      </c>
      <c r="AF34" s="18">
        <f>((C$34/C$13)*$E$3)/338.5*(1/AF$4*1000)/3</f>
        <v>0</v>
      </c>
      <c r="AG34" s="18">
        <f>((D$34/D$13)*$E$3)/338.5*(1/AG$4*1000)/3</f>
        <v>0</v>
      </c>
      <c r="AH34" s="18">
        <f>((E$34/E$13)*$E$3)/338.5*(1/AH$4*1000)/3</f>
        <v>0</v>
      </c>
      <c r="AI34" s="18">
        <f>((F$34/F$13)*$E$3)/338.5*(1/AI$4*1000)/3</f>
        <v>0</v>
      </c>
      <c r="AJ34" s="18">
        <f>((G$34/G$13)*$E$3)/338.5*(1/AJ$4*1000)/3</f>
        <v>0</v>
      </c>
      <c r="AK34" s="18">
        <f>((H$34/H$13)*$E$3)/338.5*(1/AK$4*1000)/3</f>
        <v>0</v>
      </c>
      <c r="AL34" s="18">
        <f>((I$34/I$13)*$E$3)/338.5*(1/AL$4*1000)/3</f>
        <v>0</v>
      </c>
      <c r="AM34" s="18">
        <f>((J$34/J$13)*$E$3)/338.5*(1/AM$4*1000)/3</f>
        <v>0</v>
      </c>
      <c r="AN34" s="18">
        <f>((K$34/K$13)*$E$3)/338.5*(1/AN$4*1000)/3</f>
        <v>0</v>
      </c>
      <c r="AO34" s="18">
        <f>((L$34/L$13)*$E$3)/338.5*(1/AO$4*1000)/3</f>
        <v>0</v>
      </c>
      <c r="AP34" s="18">
        <f>((M$34/M$13)*$E$3)/338.5*(1/AP$4*1000)/3</f>
        <v>0</v>
      </c>
      <c r="AQ34" s="18">
        <f>((N$34/N$13)*$E$3)/338.5*(1/AQ$4*1000)/3</f>
        <v>0</v>
      </c>
      <c r="AR34" s="18">
        <f>((O$34/O$13)*$E$3)/338.5*(1/AR$4*1000)/3</f>
        <v>0</v>
      </c>
      <c r="AS34" s="18">
        <f>((P$34/P$13)*$E$3)/338.5*(1/AS$4*1000)/3</f>
        <v>0</v>
      </c>
      <c r="AT34" s="18">
        <f>((Q$34/Q$13)*$E$3)/338.5*(1/AT$4*1000)/3</f>
        <v>0</v>
      </c>
      <c r="AU34" s="18">
        <f t="shared" ref="AU34:BE34" si="48">((R$34/R$13)*$E$3)/338.5*(1/AU$4*1000)/3</f>
        <v>0</v>
      </c>
      <c r="AV34" s="18">
        <f t="shared" si="48"/>
        <v>0</v>
      </c>
      <c r="AW34" s="18">
        <f t="shared" si="48"/>
        <v>0</v>
      </c>
      <c r="AX34" s="18">
        <f t="shared" si="48"/>
        <v>0</v>
      </c>
      <c r="AY34" s="18">
        <f t="shared" si="48"/>
        <v>0</v>
      </c>
      <c r="AZ34" s="18">
        <f t="shared" si="48"/>
        <v>0</v>
      </c>
      <c r="BA34" s="18">
        <f t="shared" si="48"/>
        <v>0</v>
      </c>
      <c r="BB34" s="18">
        <f t="shared" si="48"/>
        <v>0</v>
      </c>
      <c r="BC34" s="18">
        <f t="shared" si="48"/>
        <v>0</v>
      </c>
      <c r="BD34" s="18">
        <f t="shared" si="48"/>
        <v>0</v>
      </c>
      <c r="BE34" s="18">
        <f t="shared" si="48"/>
        <v>0</v>
      </c>
      <c r="BF34" s="18"/>
      <c r="BG34" s="18"/>
      <c r="BH34" s="28">
        <v>0.91736111111111107</v>
      </c>
      <c r="BI34" s="30">
        <f>AE34*100/AE$39</f>
        <v>0</v>
      </c>
      <c r="BJ34" s="30">
        <f>AF34*100/AF$39</f>
        <v>0</v>
      </c>
      <c r="BK34" s="30">
        <f>AG34*100/AG$39</f>
        <v>0</v>
      </c>
      <c r="BL34" s="30">
        <f>AH34*100/AH$39</f>
        <v>0</v>
      </c>
      <c r="BM34" s="30">
        <f>AI34*100/AI$39</f>
        <v>0</v>
      </c>
      <c r="BN34" s="30">
        <f>AJ34*100/AJ$39</f>
        <v>0</v>
      </c>
      <c r="BO34" s="30">
        <f>AK34*100/AK$39</f>
        <v>0</v>
      </c>
      <c r="BP34" s="30">
        <f>AL34*100/AL$39</f>
        <v>0</v>
      </c>
      <c r="BQ34" s="30">
        <f>AM34*100/AM$39</f>
        <v>0</v>
      </c>
      <c r="BR34" s="30">
        <f>AN34*100/AN$39</f>
        <v>0</v>
      </c>
      <c r="BS34" s="30">
        <f>AO34*100/AO$39</f>
        <v>0</v>
      </c>
      <c r="BT34" s="30">
        <f>AP34*100/AP$39</f>
        <v>0</v>
      </c>
      <c r="BU34" s="30">
        <f>AQ34*100/AQ$39</f>
        <v>0</v>
      </c>
      <c r="BV34" s="30">
        <f>AR34*100/AR$39</f>
        <v>0</v>
      </c>
      <c r="BW34" s="30">
        <f>AS34*100/AS$39</f>
        <v>0</v>
      </c>
      <c r="BX34" s="30">
        <f t="shared" si="23"/>
        <v>0</v>
      </c>
      <c r="BY34" s="30">
        <f t="shared" si="24"/>
        <v>0</v>
      </c>
      <c r="BZ34" s="30">
        <f t="shared" si="25"/>
        <v>0</v>
      </c>
      <c r="CA34" s="30">
        <f t="shared" si="26"/>
        <v>0</v>
      </c>
      <c r="CB34" s="30">
        <f t="shared" si="27"/>
        <v>0</v>
      </c>
      <c r="CC34" s="30">
        <f t="shared" si="28"/>
        <v>0</v>
      </c>
      <c r="CD34" s="30">
        <f t="shared" si="29"/>
        <v>0</v>
      </c>
      <c r="CE34" s="30">
        <f t="shared" si="30"/>
        <v>0</v>
      </c>
      <c r="CF34" s="30">
        <f t="shared" si="31"/>
        <v>0</v>
      </c>
      <c r="CG34" s="30">
        <f t="shared" si="32"/>
        <v>0</v>
      </c>
      <c r="CH34" s="30">
        <f t="shared" si="33"/>
        <v>0</v>
      </c>
      <c r="CI34" s="30">
        <f t="shared" si="34"/>
        <v>0</v>
      </c>
      <c r="CP34" s="49"/>
      <c r="CQ34" s="49"/>
      <c r="CR34" s="49"/>
      <c r="CS34" s="49"/>
      <c r="CT34" s="37"/>
      <c r="CU34" s="37"/>
    </row>
    <row r="35" spans="1:99" ht="15" x14ac:dyDescent="0.25">
      <c r="A35" s="81" t="s">
        <v>68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5"/>
      <c r="AD35" s="28">
        <v>0.91805555555555562</v>
      </c>
      <c r="AE35" s="13">
        <f>((B$35/B$13)*$E$3)/336.5*(1/AE$4*1000)/3</f>
        <v>0</v>
      </c>
      <c r="AF35" s="13">
        <f>((C$35/C$13)*$E$3)/336.5*(1/AF$4*1000)/3</f>
        <v>0</v>
      </c>
      <c r="AG35" s="13">
        <f>((D$35/D$13)*$E$3)/336.5*(1/AG$4*1000)/3</f>
        <v>0</v>
      </c>
      <c r="AH35" s="13">
        <f>((E$35/E$13)*$E$3)/336.5*(1/AH$4*1000)/3</f>
        <v>0</v>
      </c>
      <c r="AI35" s="13">
        <f>((F$35/F$13)*$E$3)/336.5*(1/AI$4*1000)/3</f>
        <v>0</v>
      </c>
      <c r="AJ35" s="13">
        <f>((G$35/G$13)*$E$3)/336.5*(1/AJ$4*1000)/3</f>
        <v>0</v>
      </c>
      <c r="AK35" s="13">
        <f>((H$35/H$13)*$E$3)/336.5*(1/AK$4*1000)/3</f>
        <v>0</v>
      </c>
      <c r="AL35" s="13">
        <f>((I$35/I$13)*$E$3)/336.5*(1/AL$4*1000)/3</f>
        <v>0</v>
      </c>
      <c r="AM35" s="13">
        <f>((J$35/J$13)*$E$3)/336.5*(1/AM$4*1000)/3</f>
        <v>0</v>
      </c>
      <c r="AN35" s="13">
        <f>((K$35/K$13)*$E$3)/336.5*(1/AN$4*1000)/3</f>
        <v>0</v>
      </c>
      <c r="AO35" s="13">
        <f>((L$35/L$13)*$E$3)/336.5*(1/AO$4*1000)/3</f>
        <v>0</v>
      </c>
      <c r="AP35" s="13">
        <f>((M$35/M$13)*$E$3)/336.5*(1/AP$4*1000)/3</f>
        <v>0</v>
      </c>
      <c r="AQ35" s="13">
        <f>((N$35/N$13)*$E$3)/336.5*(1/AQ$4*1000)/3</f>
        <v>0</v>
      </c>
      <c r="AR35" s="13">
        <f>((O$35/O$13)*$E$3)/336.5*(1/AR$4*1000)/3</f>
        <v>0</v>
      </c>
      <c r="AS35" s="13">
        <f>((P$35/P$13)*$E$3)/336.5*(1/AS$4*1000)/3</f>
        <v>0</v>
      </c>
      <c r="AT35" s="13">
        <f>((Q$35/Q$13)*$E$3)/336.5*(1/AT$4*1000)/3</f>
        <v>0</v>
      </c>
      <c r="AU35" s="13">
        <f t="shared" ref="AU35:BE35" si="49">((R$35/R$13)*$E$3)/336.5*(1/AU$4*1000)/3</f>
        <v>0</v>
      </c>
      <c r="AV35" s="13">
        <f t="shared" si="49"/>
        <v>0</v>
      </c>
      <c r="AW35" s="13">
        <f t="shared" si="49"/>
        <v>0</v>
      </c>
      <c r="AX35" s="13">
        <f t="shared" si="49"/>
        <v>0</v>
      </c>
      <c r="AY35" s="13">
        <f t="shared" si="49"/>
        <v>0</v>
      </c>
      <c r="AZ35" s="13">
        <f t="shared" si="49"/>
        <v>0</v>
      </c>
      <c r="BA35" s="13">
        <f t="shared" si="49"/>
        <v>0</v>
      </c>
      <c r="BB35" s="13">
        <f t="shared" si="49"/>
        <v>0</v>
      </c>
      <c r="BC35" s="13">
        <f t="shared" si="49"/>
        <v>0</v>
      </c>
      <c r="BD35" s="13">
        <f t="shared" si="49"/>
        <v>0</v>
      </c>
      <c r="BE35" s="13">
        <f t="shared" si="49"/>
        <v>0</v>
      </c>
      <c r="BH35" s="28">
        <v>0.91805555555555562</v>
      </c>
      <c r="BI35" s="30">
        <f>AE35*100/AE$39</f>
        <v>0</v>
      </c>
      <c r="BJ35" s="30">
        <f>AF35*100/AF$39</f>
        <v>0</v>
      </c>
      <c r="BK35" s="30">
        <f>AG35*100/AG$39</f>
        <v>0</v>
      </c>
      <c r="BL35" s="30">
        <f>AH35*100/AH$39</f>
        <v>0</v>
      </c>
      <c r="BM35" s="30">
        <f>AI35*100/AI$39</f>
        <v>0</v>
      </c>
      <c r="BN35" s="30">
        <f>AJ35*100/AJ$39</f>
        <v>0</v>
      </c>
      <c r="BO35" s="30">
        <f>AK35*100/AK$39</f>
        <v>0</v>
      </c>
      <c r="BP35" s="30">
        <f>AL35*100/AL$39</f>
        <v>0</v>
      </c>
      <c r="BQ35" s="30">
        <f>AM35*100/AM$39</f>
        <v>0</v>
      </c>
      <c r="BR35" s="30">
        <f>AN35*100/AN$39</f>
        <v>0</v>
      </c>
      <c r="BS35" s="30">
        <f>AO35*100/AO$39</f>
        <v>0</v>
      </c>
      <c r="BT35" s="30">
        <f>AP35*100/AP$39</f>
        <v>0</v>
      </c>
      <c r="BU35" s="30">
        <f>AQ35*100/AQ$39</f>
        <v>0</v>
      </c>
      <c r="BV35" s="30">
        <f>AR35*100/AR$39</f>
        <v>0</v>
      </c>
      <c r="BW35" s="30">
        <f>AS35*100/AS$39</f>
        <v>0</v>
      </c>
      <c r="BX35" s="30">
        <f t="shared" si="23"/>
        <v>0</v>
      </c>
      <c r="BY35" s="30">
        <f t="shared" si="24"/>
        <v>0</v>
      </c>
      <c r="BZ35" s="30">
        <f t="shared" si="25"/>
        <v>0</v>
      </c>
      <c r="CA35" s="30">
        <f t="shared" si="26"/>
        <v>0</v>
      </c>
      <c r="CB35" s="30">
        <f t="shared" si="27"/>
        <v>0</v>
      </c>
      <c r="CC35" s="30">
        <f t="shared" si="28"/>
        <v>0</v>
      </c>
      <c r="CD35" s="30">
        <f t="shared" si="29"/>
        <v>0</v>
      </c>
      <c r="CE35" s="30">
        <f t="shared" si="30"/>
        <v>0</v>
      </c>
      <c r="CF35" s="30">
        <f t="shared" si="31"/>
        <v>0</v>
      </c>
      <c r="CG35" s="30">
        <f t="shared" si="32"/>
        <v>0</v>
      </c>
      <c r="CH35" s="30">
        <f t="shared" si="33"/>
        <v>0</v>
      </c>
      <c r="CI35" s="30">
        <f t="shared" si="34"/>
        <v>0</v>
      </c>
      <c r="CP35" s="49"/>
      <c r="CQ35" s="49"/>
      <c r="CR35" s="49"/>
      <c r="CS35" s="49"/>
      <c r="CT35" s="37"/>
      <c r="CU35" s="37"/>
    </row>
    <row r="36" spans="1:99" ht="15" x14ac:dyDescent="0.25">
      <c r="A36" s="81" t="s">
        <v>54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 t="s">
        <v>226</v>
      </c>
      <c r="L36" s="23" t="s">
        <v>227</v>
      </c>
      <c r="M36" s="23" t="s">
        <v>228</v>
      </c>
      <c r="N36" s="23" t="s">
        <v>229</v>
      </c>
      <c r="O36" s="23" t="s">
        <v>230</v>
      </c>
      <c r="P36" s="23" t="s">
        <v>231</v>
      </c>
      <c r="Q36" s="23" t="s">
        <v>232</v>
      </c>
      <c r="R36" s="23" t="s">
        <v>233</v>
      </c>
      <c r="S36" s="23" t="s">
        <v>234</v>
      </c>
      <c r="T36" s="23" t="s">
        <v>235</v>
      </c>
      <c r="U36" s="23" t="s">
        <v>236</v>
      </c>
      <c r="V36" s="23" t="s">
        <v>237</v>
      </c>
      <c r="W36" s="23" t="s">
        <v>238</v>
      </c>
      <c r="X36" s="23" t="s">
        <v>239</v>
      </c>
      <c r="Y36" s="23" t="s">
        <v>240</v>
      </c>
      <c r="Z36" s="23" t="s">
        <v>241</v>
      </c>
      <c r="AA36" s="23" t="s">
        <v>242</v>
      </c>
      <c r="AB36" s="23" t="s">
        <v>243</v>
      </c>
      <c r="AC36" s="25"/>
      <c r="AD36" s="33"/>
      <c r="BH36" s="28">
        <v>0.95833333333333337</v>
      </c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P36" s="49"/>
      <c r="CQ36" s="49"/>
      <c r="CR36" s="49"/>
      <c r="CS36" s="49"/>
      <c r="CT36" s="37"/>
      <c r="CU36" s="37"/>
    </row>
    <row r="37" spans="1:99" ht="15" x14ac:dyDescent="0.25">
      <c r="A37" s="81" t="s">
        <v>69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5"/>
      <c r="AD37" s="33" t="s">
        <v>29</v>
      </c>
      <c r="AE37" s="13">
        <f>((B$37/B$13)*$E$3)/330.5*(1/AE$4*1000)/3</f>
        <v>0</v>
      </c>
      <c r="AF37" s="13">
        <f>((C$37/C$13)*$E$3)/330.5*(1/AF$4*1000)/3</f>
        <v>0</v>
      </c>
      <c r="AG37" s="13">
        <f>((D$37/D$13)*$E$3)/330.5*(1/AG$4*1000)/3</f>
        <v>0</v>
      </c>
      <c r="AH37" s="13">
        <f>((E$37/E$13)*$E$3)/330.5*(1/AH$4*1000)/3</f>
        <v>0</v>
      </c>
      <c r="AI37" s="13">
        <f>((F$37/F$13)*$E$3)/330.5*(1/AI$4*1000)/3</f>
        <v>0</v>
      </c>
      <c r="AJ37" s="13">
        <f>((G$37/G$13)*$E$3)/330.5*(1/AJ$4*1000)/3</f>
        <v>0</v>
      </c>
      <c r="AK37" s="13">
        <f>((H$37/H$13)*$E$3)/330.5*(1/AK$4*1000)/3</f>
        <v>0</v>
      </c>
      <c r="AL37" s="13">
        <f>((I$37/I$13)*$E$3)/330.5*(1/AL$4*1000)/3</f>
        <v>0</v>
      </c>
      <c r="AM37" s="13">
        <f>((J$37/J$13)*$E$3)/330.5*(1/AM$4*1000)/3</f>
        <v>0</v>
      </c>
      <c r="AN37" s="13">
        <f>((K$37/K$13)*$E$3)/330.5*(1/AN$4*1000)/3</f>
        <v>0</v>
      </c>
      <c r="AO37" s="13">
        <f>((L$37/L$13)*$E$3)/330.5*(1/AO$4*1000)/3</f>
        <v>0</v>
      </c>
      <c r="AP37" s="13">
        <f>((M$37/M$13)*$E$3)/330.5*(1/AP$4*1000)/3</f>
        <v>0</v>
      </c>
      <c r="AQ37" s="13">
        <f>((N$37/N$13)*$E$3)/330.5*(1/AQ$4*1000)/3</f>
        <v>0</v>
      </c>
      <c r="AR37" s="13">
        <f>((O$37/O$13)*$E$3)/330.5*(1/AR$4*1000)/3</f>
        <v>0</v>
      </c>
      <c r="AS37" s="13">
        <f>((P$37/P$13)*$E$3)/330.5*(1/AS$4*1000)/3</f>
        <v>0</v>
      </c>
      <c r="AT37" s="13">
        <f>((Q$37/Q$13)*$E$3)/330.5*(1/AT$4*1000)/3</f>
        <v>0</v>
      </c>
      <c r="AU37" s="13">
        <f t="shared" ref="AU37:BE37" si="50">((R$37/R$13)*$E$3)/330.5*(1/AU$4*1000)/3</f>
        <v>0</v>
      </c>
      <c r="AV37" s="13">
        <f t="shared" si="50"/>
        <v>0</v>
      </c>
      <c r="AW37" s="13">
        <f t="shared" si="50"/>
        <v>0</v>
      </c>
      <c r="AX37" s="13">
        <f t="shared" si="50"/>
        <v>0</v>
      </c>
      <c r="AY37" s="13">
        <f t="shared" si="50"/>
        <v>0</v>
      </c>
      <c r="AZ37" s="13">
        <f t="shared" si="50"/>
        <v>0</v>
      </c>
      <c r="BA37" s="13">
        <f t="shared" si="50"/>
        <v>0</v>
      </c>
      <c r="BB37" s="13">
        <f t="shared" si="50"/>
        <v>0</v>
      </c>
      <c r="BC37" s="13">
        <f t="shared" si="50"/>
        <v>0</v>
      </c>
      <c r="BD37" s="13">
        <f t="shared" si="50"/>
        <v>0</v>
      </c>
      <c r="BE37" s="13">
        <f t="shared" si="50"/>
        <v>0</v>
      </c>
      <c r="BH37" s="28">
        <v>0.92013888888888884</v>
      </c>
      <c r="BI37" s="30">
        <f>AE37*100/AE$39</f>
        <v>0</v>
      </c>
      <c r="BJ37" s="30">
        <f>AF37*100/AF$39</f>
        <v>0</v>
      </c>
      <c r="BK37" s="30">
        <f>AG37*100/AG$39</f>
        <v>0</v>
      </c>
      <c r="BL37" s="30">
        <f>AH37*100/AH$39</f>
        <v>0</v>
      </c>
      <c r="BM37" s="30">
        <f>AI37*100/AI$39</f>
        <v>0</v>
      </c>
      <c r="BN37" s="30">
        <f>AJ37*100/AJ$39</f>
        <v>0</v>
      </c>
      <c r="BO37" s="30">
        <f>AK37*100/AK$39</f>
        <v>0</v>
      </c>
      <c r="BP37" s="30">
        <f>AL37*100/AL$39</f>
        <v>0</v>
      </c>
      <c r="BQ37" s="30">
        <f>AM37*100/AM$39</f>
        <v>0</v>
      </c>
      <c r="BR37" s="30">
        <f>AN37*100/AN$39</f>
        <v>0</v>
      </c>
      <c r="BS37" s="30">
        <f>AO37*100/AO$39</f>
        <v>0</v>
      </c>
      <c r="BT37" s="30">
        <f>AP37*100/AP$39</f>
        <v>0</v>
      </c>
      <c r="BU37" s="30">
        <f>AQ37*100/AQ$39</f>
        <v>0</v>
      </c>
      <c r="BV37" s="30">
        <f>AR37*100/AR$39</f>
        <v>0</v>
      </c>
      <c r="BW37" s="30">
        <f>AS37*100/AS$39</f>
        <v>0</v>
      </c>
      <c r="BX37" s="30">
        <f>AT37*100/AT$39</f>
        <v>0</v>
      </c>
      <c r="BY37" s="30">
        <f t="shared" ref="BY37:CG38" si="51">AU37*100/AU$39</f>
        <v>0</v>
      </c>
      <c r="BZ37" s="30">
        <f t="shared" si="51"/>
        <v>0</v>
      </c>
      <c r="CA37" s="30">
        <f t="shared" si="51"/>
        <v>0</v>
      </c>
      <c r="CB37" s="30">
        <f t="shared" si="51"/>
        <v>0</v>
      </c>
      <c r="CC37" s="30">
        <f t="shared" si="51"/>
        <v>0</v>
      </c>
      <c r="CD37" s="30">
        <f t="shared" si="51"/>
        <v>0</v>
      </c>
      <c r="CE37" s="30">
        <f t="shared" si="51"/>
        <v>0</v>
      </c>
      <c r="CF37" s="30">
        <f t="shared" si="51"/>
        <v>0</v>
      </c>
      <c r="CG37" s="30">
        <f t="shared" si="51"/>
        <v>0</v>
      </c>
      <c r="CH37" s="30">
        <f>BD37*100/BD$39</f>
        <v>0</v>
      </c>
      <c r="CI37" s="30">
        <f t="shared" ref="CI37:CI38" si="52">BE37*100/BE$39</f>
        <v>0</v>
      </c>
      <c r="CP37" s="49"/>
      <c r="CQ37" s="49"/>
      <c r="CR37" s="49"/>
      <c r="CS37" s="49"/>
      <c r="CT37" s="37"/>
      <c r="CU37" s="37"/>
    </row>
    <row r="38" spans="1:99" ht="15" x14ac:dyDescent="0.25">
      <c r="A38" s="81" t="s">
        <v>70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5"/>
      <c r="AD38" s="33" t="s">
        <v>30</v>
      </c>
      <c r="AE38" s="13">
        <f>((B$38/B$13)*$E$3)/328.5*(1/AE$4*1000)/3</f>
        <v>0</v>
      </c>
      <c r="AF38" s="13">
        <f>((C$38/C$13)*$E$3)/328.5*(1/AF$4*1000)/3</f>
        <v>0</v>
      </c>
      <c r="AG38" s="13">
        <f>((D$38/D$13)*$E$3)/328.5*(1/AG$4*1000)/3</f>
        <v>0</v>
      </c>
      <c r="AH38" s="13">
        <f>((E$38/E$13)*$E$3)/328.5*(1/AH$4*1000)/3</f>
        <v>0</v>
      </c>
      <c r="AI38" s="13">
        <f>((F$38/F$13)*$E$3)/328.5*(1/AI$4*1000)/3</f>
        <v>0</v>
      </c>
      <c r="AJ38" s="13">
        <f>((G$38/G$13)*$E$3)/328.5*(1/AJ$4*1000)/3</f>
        <v>0</v>
      </c>
      <c r="AK38" s="13">
        <f>((H$38/H$13)*$E$3)/328.5*(1/AK$4*1000)/3</f>
        <v>0</v>
      </c>
      <c r="AL38" s="13">
        <f>((I$38/I$13)*$E$3)/328.5*(1/AL$4*1000)/3</f>
        <v>0</v>
      </c>
      <c r="AM38" s="13">
        <f>((J$38/J$13)*$E$3)/328.5*(1/AM$4*1000)/3</f>
        <v>0</v>
      </c>
      <c r="AN38" s="13">
        <f>((K$38/K$13)*$E$3)/328.5*(1/AN$4*1000)/3</f>
        <v>0</v>
      </c>
      <c r="AO38" s="13">
        <f>((L$38/L$13)*$E$3)/328.5*(1/AO$4*1000)/3</f>
        <v>0</v>
      </c>
      <c r="AP38" s="13">
        <f>((M$38/M$13)*$E$3)/328.5*(1/AP$4*1000)/3</f>
        <v>0</v>
      </c>
      <c r="AQ38" s="13">
        <f>((N$38/N$13)*$E$3)/328.5*(1/AQ$4*1000)/3</f>
        <v>0</v>
      </c>
      <c r="AR38" s="13">
        <f>((O$38/O$13)*$E$3)/328.5*(1/AR$4*1000)/3</f>
        <v>0</v>
      </c>
      <c r="AS38" s="13">
        <f>((P$38/P$13)*$E$3)/328.5*(1/AS$4*1000)/3</f>
        <v>0</v>
      </c>
      <c r="AT38" s="13">
        <f>((Q$38/Q$13)*$E$3)/328.5*(1/AT$4*1000)/3</f>
        <v>0</v>
      </c>
      <c r="AU38" s="13">
        <f t="shared" ref="AU38:BE38" si="53">((R$38/R$13)*$E$3)/328.5*(1/AU$4*1000)/3</f>
        <v>0</v>
      </c>
      <c r="AV38" s="13">
        <f t="shared" si="53"/>
        <v>0</v>
      </c>
      <c r="AW38" s="13">
        <f t="shared" si="53"/>
        <v>0</v>
      </c>
      <c r="AX38" s="13">
        <f t="shared" si="53"/>
        <v>0</v>
      </c>
      <c r="AY38" s="13">
        <f t="shared" si="53"/>
        <v>0</v>
      </c>
      <c r="AZ38" s="13">
        <f t="shared" si="53"/>
        <v>0</v>
      </c>
      <c r="BA38" s="13">
        <f t="shared" si="53"/>
        <v>0</v>
      </c>
      <c r="BB38" s="13">
        <f t="shared" si="53"/>
        <v>0</v>
      </c>
      <c r="BC38" s="13">
        <f t="shared" si="53"/>
        <v>0</v>
      </c>
      <c r="BD38" s="13">
        <f t="shared" si="53"/>
        <v>0</v>
      </c>
      <c r="BE38" s="13">
        <f t="shared" si="53"/>
        <v>0</v>
      </c>
      <c r="BH38" s="28">
        <v>0.92083333333333339</v>
      </c>
      <c r="BI38" s="30">
        <f>AE38*100/AE$39</f>
        <v>0</v>
      </c>
      <c r="BJ38" s="30">
        <f>AF38*100/AF$39</f>
        <v>0</v>
      </c>
      <c r="BK38" s="30">
        <f>AG38*100/AG$39</f>
        <v>0</v>
      </c>
      <c r="BL38" s="30">
        <f>AH38*100/AH$39</f>
        <v>0</v>
      </c>
      <c r="BM38" s="30">
        <f>AI38*100/AI$39</f>
        <v>0</v>
      </c>
      <c r="BN38" s="30">
        <f>AJ38*100/AJ$39</f>
        <v>0</v>
      </c>
      <c r="BO38" s="30">
        <f>AK38*100/AK$39</f>
        <v>0</v>
      </c>
      <c r="BP38" s="30">
        <f>AL38*100/AL$39</f>
        <v>0</v>
      </c>
      <c r="BQ38" s="30">
        <f>AM38*100/AM$39</f>
        <v>0</v>
      </c>
      <c r="BR38" s="30">
        <f>AN38*100/AN$39</f>
        <v>0</v>
      </c>
      <c r="BS38" s="30">
        <f>AO38*100/AO$39</f>
        <v>0</v>
      </c>
      <c r="BT38" s="30">
        <f>AP38*100/AP$39</f>
        <v>0</v>
      </c>
      <c r="BU38" s="30">
        <f>AQ38*100/AQ$39</f>
        <v>0</v>
      </c>
      <c r="BV38" s="30">
        <f>AR38*100/AR$39</f>
        <v>0</v>
      </c>
      <c r="BW38" s="30">
        <f>AS38*100/AS$39</f>
        <v>0</v>
      </c>
      <c r="BX38" s="30">
        <f>AT38*100/AT$39</f>
        <v>0</v>
      </c>
      <c r="BY38" s="30">
        <f t="shared" si="51"/>
        <v>0</v>
      </c>
      <c r="BZ38" s="30">
        <f t="shared" si="51"/>
        <v>0</v>
      </c>
      <c r="CA38" s="30">
        <f t="shared" si="51"/>
        <v>0</v>
      </c>
      <c r="CB38" s="30">
        <f t="shared" si="51"/>
        <v>0</v>
      </c>
      <c r="CC38" s="30">
        <f t="shared" si="51"/>
        <v>0</v>
      </c>
      <c r="CD38" s="30">
        <f t="shared" si="51"/>
        <v>0</v>
      </c>
      <c r="CE38" s="30">
        <f t="shared" si="51"/>
        <v>0</v>
      </c>
      <c r="CF38" s="30">
        <f t="shared" si="51"/>
        <v>0</v>
      </c>
      <c r="CG38" s="30">
        <f t="shared" si="51"/>
        <v>0</v>
      </c>
      <c r="CH38" s="30">
        <f>BD38*100/BD$39</f>
        <v>0</v>
      </c>
      <c r="CI38" s="30">
        <f t="shared" si="52"/>
        <v>0</v>
      </c>
      <c r="CP38" s="37"/>
      <c r="CQ38" s="37"/>
      <c r="CR38" s="37"/>
      <c r="CS38" s="37"/>
      <c r="CT38" s="37"/>
      <c r="CU38" s="37"/>
    </row>
    <row r="39" spans="1:99" ht="18" x14ac:dyDescent="0.25">
      <c r="A39" s="35"/>
      <c r="B39" s="28"/>
      <c r="E39" s="26"/>
      <c r="F39" s="26"/>
      <c r="AC39" s="28"/>
      <c r="AD39" s="33" t="s">
        <v>31</v>
      </c>
      <c r="AE39" s="34">
        <f t="shared" ref="AE39:AT41" si="54">SUM(AE6:AE35,AE37:AE38)</f>
        <v>166.67717251653835</v>
      </c>
      <c r="AF39" s="34">
        <f t="shared" si="54"/>
        <v>143.23376498153459</v>
      </c>
      <c r="AG39" s="34">
        <f t="shared" si="54"/>
        <v>149.21566423772205</v>
      </c>
      <c r="AH39" s="34">
        <f t="shared" si="54"/>
        <v>782.95140604490689</v>
      </c>
      <c r="AI39" s="34">
        <f t="shared" si="54"/>
        <v>867.71865521181633</v>
      </c>
      <c r="AJ39" s="34">
        <f t="shared" si="54"/>
        <v>842.43299429921058</v>
      </c>
      <c r="AK39" s="34">
        <f t="shared" si="54"/>
        <v>3008.2012624551003</v>
      </c>
      <c r="AL39" s="34">
        <f t="shared" si="54"/>
        <v>3472.3980065375717</v>
      </c>
      <c r="AM39" s="34">
        <f t="shared" si="54"/>
        <v>3601.768070221312</v>
      </c>
      <c r="AN39" s="34">
        <f t="shared" si="54"/>
        <v>70.366205519512405</v>
      </c>
      <c r="AO39" s="34">
        <f t="shared" si="54"/>
        <v>99.082999975820556</v>
      </c>
      <c r="AP39" s="34">
        <f t="shared" si="54"/>
        <v>110.62981657454168</v>
      </c>
      <c r="AQ39" s="34">
        <f t="shared" si="54"/>
        <v>24.399747181201775</v>
      </c>
      <c r="AR39" s="34">
        <f t="shared" si="54"/>
        <v>51.796812188580134</v>
      </c>
      <c r="AS39" s="34">
        <f t="shared" si="54"/>
        <v>43.845152306861024</v>
      </c>
      <c r="AT39" s="34">
        <f t="shared" si="54"/>
        <v>627.13861551431557</v>
      </c>
      <c r="AU39" s="34">
        <f t="shared" ref="AU39:BE41" si="55">SUM(AU6:AU35,AU37:AU38)</f>
        <v>847.09208102533717</v>
      </c>
      <c r="AV39" s="34">
        <f t="shared" si="55"/>
        <v>880.23691298046083</v>
      </c>
      <c r="AW39" s="34">
        <f t="shared" si="55"/>
        <v>954.65717359798964</v>
      </c>
      <c r="AX39" s="34">
        <f t="shared" si="55"/>
        <v>1041.5577454848769</v>
      </c>
      <c r="AY39" s="34">
        <f t="shared" si="55"/>
        <v>1089.2280659449964</v>
      </c>
      <c r="AZ39" s="34">
        <f t="shared" si="55"/>
        <v>3455.2564427551597</v>
      </c>
      <c r="BA39" s="34">
        <f t="shared" si="55"/>
        <v>3926.3634959605693</v>
      </c>
      <c r="BB39" s="34">
        <f t="shared" si="55"/>
        <v>4137.0856457647897</v>
      </c>
      <c r="BC39" s="34">
        <f t="shared" si="55"/>
        <v>3566.4906530172675</v>
      </c>
      <c r="BD39" s="34">
        <f t="shared" si="55"/>
        <v>4182.1167791033877</v>
      </c>
      <c r="BE39" s="34">
        <f t="shared" si="55"/>
        <v>4273.5888181203873</v>
      </c>
      <c r="BF39" s="34"/>
      <c r="BG39" s="34"/>
      <c r="BH39" s="34"/>
      <c r="BI39" s="30"/>
      <c r="BJ39" s="30"/>
      <c r="BK39" s="18"/>
      <c r="BL39" s="18"/>
      <c r="BM39" s="30"/>
      <c r="BN39" s="30"/>
      <c r="BO39" s="30"/>
      <c r="BP39" s="30"/>
      <c r="BQ39" s="30"/>
      <c r="BR39" s="18"/>
      <c r="BS39" s="19"/>
      <c r="BT39" s="19"/>
      <c r="BU39" s="34"/>
      <c r="BV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P39" s="37"/>
      <c r="CQ39" s="37"/>
      <c r="CR39" s="37"/>
      <c r="CS39" s="37"/>
      <c r="CT39" s="37"/>
      <c r="CU39" s="37"/>
    </row>
    <row r="40" spans="1:99" x14ac:dyDescent="0.2">
      <c r="A40" s="13" t="s">
        <v>32</v>
      </c>
      <c r="B40" s="39" t="e">
        <f t="shared" ref="B40:AB40" si="56">((B13/B36)*($E$4/$E$3))*100</f>
        <v>#DIV/0!</v>
      </c>
      <c r="C40" s="39" t="e">
        <f t="shared" si="56"/>
        <v>#DIV/0!</v>
      </c>
      <c r="D40" s="39" t="e">
        <f t="shared" si="56"/>
        <v>#DIV/0!</v>
      </c>
      <c r="E40" s="39" t="e">
        <f t="shared" si="56"/>
        <v>#DIV/0!</v>
      </c>
      <c r="F40" s="39" t="e">
        <f t="shared" si="56"/>
        <v>#DIV/0!</v>
      </c>
      <c r="G40" s="39" t="e">
        <f t="shared" si="56"/>
        <v>#DIV/0!</v>
      </c>
      <c r="H40" s="39" t="e">
        <f t="shared" si="56"/>
        <v>#DIV/0!</v>
      </c>
      <c r="I40" s="39" t="e">
        <f t="shared" si="56"/>
        <v>#DIV/0!</v>
      </c>
      <c r="J40" s="39" t="e">
        <f t="shared" si="56"/>
        <v>#DIV/0!</v>
      </c>
      <c r="K40" s="39">
        <f t="shared" si="56"/>
        <v>46.358734425616888</v>
      </c>
      <c r="L40" s="39">
        <f t="shared" si="56"/>
        <v>42.110862620853624</v>
      </c>
      <c r="M40" s="39">
        <f t="shared" si="56"/>
        <v>38.072898056831228</v>
      </c>
      <c r="N40" s="39">
        <f t="shared" si="56"/>
        <v>27.756757312388697</v>
      </c>
      <c r="O40" s="39">
        <f t="shared" si="56"/>
        <v>39.975074076270943</v>
      </c>
      <c r="P40" s="39">
        <f t="shared" si="56"/>
        <v>42.645557419254885</v>
      </c>
      <c r="Q40" s="39">
        <f t="shared" si="56"/>
        <v>42.767773145015134</v>
      </c>
      <c r="R40" s="39">
        <f t="shared" si="56"/>
        <v>51.850200510809742</v>
      </c>
      <c r="S40" s="39">
        <f t="shared" si="56"/>
        <v>41.395593362275569</v>
      </c>
      <c r="T40" s="39">
        <f t="shared" si="56"/>
        <v>45.712588277840659</v>
      </c>
      <c r="U40" s="39">
        <f t="shared" si="56"/>
        <v>55.681881057255112</v>
      </c>
      <c r="V40" s="39">
        <f t="shared" si="56"/>
        <v>42.628611511086199</v>
      </c>
      <c r="W40" s="39">
        <f t="shared" si="56"/>
        <v>53.348755152605435</v>
      </c>
      <c r="X40" s="39">
        <f t="shared" si="56"/>
        <v>52.779970323812975</v>
      </c>
      <c r="Y40" s="39">
        <f t="shared" si="56"/>
        <v>49.064101153102754</v>
      </c>
      <c r="Z40" s="39">
        <f t="shared" si="56"/>
        <v>49.930649378851349</v>
      </c>
      <c r="AA40" s="39">
        <f t="shared" si="56"/>
        <v>57.793736020907815</v>
      </c>
      <c r="AB40" s="39">
        <f t="shared" si="56"/>
        <v>51.633993821456748</v>
      </c>
      <c r="AC40" s="45"/>
      <c r="AD40" s="45"/>
      <c r="AE40" s="34"/>
      <c r="AF40" s="34"/>
      <c r="AG40" s="34"/>
      <c r="AH40" s="34"/>
      <c r="AI40" s="34"/>
      <c r="AJ40" s="34"/>
      <c r="AK40" s="34"/>
      <c r="AL40" s="34"/>
      <c r="AM40" s="30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0">
        <f t="shared" ref="BI40:BX40" si="57">SUM(BI6:BI38)</f>
        <v>100.00000000000003</v>
      </c>
      <c r="BJ40" s="30">
        <f t="shared" si="57"/>
        <v>100</v>
      </c>
      <c r="BK40" s="30">
        <f t="shared" si="57"/>
        <v>100.00000000000003</v>
      </c>
      <c r="BL40" s="30">
        <f t="shared" si="57"/>
        <v>100.00000000000001</v>
      </c>
      <c r="BM40" s="30">
        <f t="shared" si="57"/>
        <v>100</v>
      </c>
      <c r="BN40" s="30">
        <f t="shared" si="57"/>
        <v>100</v>
      </c>
      <c r="BO40" s="30">
        <f t="shared" si="57"/>
        <v>100</v>
      </c>
      <c r="BP40" s="30">
        <f t="shared" si="57"/>
        <v>100.00000000000003</v>
      </c>
      <c r="BQ40" s="30">
        <f t="shared" si="57"/>
        <v>100</v>
      </c>
      <c r="BR40" s="30">
        <f t="shared" si="57"/>
        <v>100.00000000000001</v>
      </c>
      <c r="BS40" s="30">
        <f t="shared" si="57"/>
        <v>100</v>
      </c>
      <c r="BT40" s="30">
        <f t="shared" si="57"/>
        <v>100</v>
      </c>
      <c r="BU40" s="30">
        <f t="shared" si="57"/>
        <v>100</v>
      </c>
      <c r="BV40" s="30">
        <f t="shared" si="57"/>
        <v>100</v>
      </c>
      <c r="BW40" s="30">
        <f t="shared" si="57"/>
        <v>100.00000000000001</v>
      </c>
      <c r="BX40" s="30">
        <f t="shared" si="57"/>
        <v>100.00000000000001</v>
      </c>
      <c r="BY40" s="30">
        <f t="shared" ref="BY40:CH40" si="58">SUM(BY6:BY38)</f>
        <v>100</v>
      </c>
      <c r="BZ40" s="30">
        <f t="shared" si="58"/>
        <v>100</v>
      </c>
      <c r="CA40" s="30">
        <f t="shared" si="58"/>
        <v>100.00000000000001</v>
      </c>
      <c r="CB40" s="30">
        <f t="shared" si="58"/>
        <v>100</v>
      </c>
      <c r="CC40" s="30">
        <f t="shared" si="58"/>
        <v>100</v>
      </c>
      <c r="CD40" s="30">
        <f t="shared" si="58"/>
        <v>100</v>
      </c>
      <c r="CE40" s="30">
        <f t="shared" si="58"/>
        <v>100</v>
      </c>
      <c r="CF40" s="30">
        <f t="shared" si="58"/>
        <v>100</v>
      </c>
      <c r="CG40" s="30">
        <f t="shared" si="58"/>
        <v>100.00000000000001</v>
      </c>
      <c r="CH40" s="30">
        <f t="shared" si="58"/>
        <v>100.00000000000001</v>
      </c>
      <c r="CI40" s="30">
        <f t="shared" ref="CI40" si="59">SUM(CI6:CI38)</f>
        <v>100.00000000000001</v>
      </c>
    </row>
    <row r="41" spans="1:99" ht="15" x14ac:dyDescent="0.25">
      <c r="E41" s="46"/>
      <c r="F41" s="46"/>
      <c r="AC41" s="28"/>
      <c r="AD41" s="40"/>
      <c r="AE41" s="17">
        <v>166.67717251653835</v>
      </c>
      <c r="AF41" s="17">
        <v>143.23376498153459</v>
      </c>
      <c r="AG41" s="17">
        <v>149.21566423772205</v>
      </c>
      <c r="AH41" s="17">
        <v>782.95140604490689</v>
      </c>
      <c r="AI41" s="17">
        <v>867.71865521181633</v>
      </c>
      <c r="AJ41" s="17">
        <v>842.43299429921058</v>
      </c>
      <c r="AK41" s="17">
        <v>3008.2012624551003</v>
      </c>
      <c r="AL41" s="13">
        <v>3472.3980065375717</v>
      </c>
      <c r="AM41" s="17">
        <v>3601.768070221312</v>
      </c>
      <c r="AN41" s="13">
        <v>70.366205519512405</v>
      </c>
      <c r="AO41" s="13">
        <v>99.082999975820556</v>
      </c>
      <c r="AP41" s="13">
        <v>110.62981657454168</v>
      </c>
      <c r="AQ41" s="13">
        <v>24.399747181201775</v>
      </c>
      <c r="AR41" s="13">
        <v>51.796812188580134</v>
      </c>
      <c r="AS41" s="13">
        <v>43.845152306861024</v>
      </c>
      <c r="AT41" s="13">
        <v>627.13861551431557</v>
      </c>
      <c r="AU41" s="13">
        <v>847.09208102533717</v>
      </c>
      <c r="AV41" s="13">
        <v>880.23691298046083</v>
      </c>
      <c r="AW41" s="13">
        <v>954.65717359798964</v>
      </c>
      <c r="AX41" s="13">
        <v>1041.5577454848769</v>
      </c>
      <c r="AY41" s="13">
        <v>1089.2280659449964</v>
      </c>
      <c r="AZ41" s="13">
        <v>3455.2564427551597</v>
      </c>
      <c r="BA41" s="13">
        <v>3926.3634959605693</v>
      </c>
      <c r="BB41" s="13">
        <v>4137.0856457647897</v>
      </c>
      <c r="BC41" s="13">
        <v>3566.4906530172675</v>
      </c>
      <c r="BD41" s="13">
        <v>4182.1167791033877</v>
      </c>
      <c r="BE41" s="13">
        <v>4273.5888181203873</v>
      </c>
      <c r="BI41" s="30"/>
      <c r="BJ41" s="30"/>
      <c r="BK41" s="30"/>
      <c r="BL41" s="30"/>
      <c r="BM41" s="30"/>
      <c r="BN41" s="30"/>
      <c r="BO41" s="30"/>
      <c r="BP41" s="30"/>
      <c r="BQ41" s="30"/>
      <c r="BR41" s="18"/>
      <c r="BV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</row>
    <row r="42" spans="1:99" ht="18" x14ac:dyDescent="0.25"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8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19"/>
      <c r="AF42" s="40"/>
      <c r="AG42" s="38"/>
      <c r="AH42" s="38"/>
      <c r="AI42" s="17"/>
      <c r="AJ42" s="17"/>
      <c r="AK42" s="17"/>
      <c r="AL42" s="17"/>
      <c r="AM42" s="17"/>
      <c r="AN42" s="17"/>
      <c r="AP42" s="17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W42" s="13"/>
      <c r="CP42" s="37"/>
      <c r="CQ42" s="37"/>
      <c r="CR42" s="37"/>
    </row>
    <row r="46" spans="1:99" ht="15" x14ac:dyDescent="0.25">
      <c r="B46" s="73"/>
      <c r="C46" s="80"/>
    </row>
    <row r="47" spans="1:99" ht="15" x14ac:dyDescent="0.25">
      <c r="B47" s="73"/>
      <c r="C47" s="80"/>
    </row>
    <row r="48" spans="1:99" ht="15" x14ac:dyDescent="0.25">
      <c r="B48" s="73"/>
      <c r="C48" s="80"/>
    </row>
    <row r="49" spans="2:3" ht="15" x14ac:dyDescent="0.25">
      <c r="B49" s="73"/>
      <c r="C49" s="80"/>
    </row>
    <row r="50" spans="2:3" ht="15" x14ac:dyDescent="0.25">
      <c r="B50" s="73"/>
      <c r="C50" s="80"/>
    </row>
    <row r="51" spans="2:3" ht="15" x14ac:dyDescent="0.25">
      <c r="B51" s="73"/>
      <c r="C51" s="80"/>
    </row>
    <row r="52" spans="2:3" ht="15" x14ac:dyDescent="0.25">
      <c r="B52" s="74"/>
      <c r="C52" s="78"/>
    </row>
    <row r="53" spans="2:3" ht="15" x14ac:dyDescent="0.25">
      <c r="B53" s="73"/>
      <c r="C53" s="80"/>
    </row>
    <row r="54" spans="2:3" ht="15" x14ac:dyDescent="0.25">
      <c r="B54" s="73"/>
      <c r="C54" s="80"/>
    </row>
    <row r="55" spans="2:3" ht="15" x14ac:dyDescent="0.25">
      <c r="B55" s="73"/>
      <c r="C55" s="80"/>
    </row>
    <row r="56" spans="2:3" ht="15" x14ac:dyDescent="0.25">
      <c r="B56" s="73"/>
      <c r="C56" s="80"/>
    </row>
    <row r="57" spans="2:3" ht="15" x14ac:dyDescent="0.25">
      <c r="B57" s="73"/>
      <c r="C57" s="80"/>
    </row>
    <row r="58" spans="2:3" ht="15" x14ac:dyDescent="0.25">
      <c r="B58" s="75"/>
      <c r="C58" s="79"/>
    </row>
    <row r="59" spans="2:3" ht="15" x14ac:dyDescent="0.25">
      <c r="B59" s="73"/>
      <c r="C59" s="80"/>
    </row>
    <row r="60" spans="2:3" ht="15" x14ac:dyDescent="0.25">
      <c r="B60" s="73"/>
      <c r="C60" s="80"/>
    </row>
    <row r="61" spans="2:3" ht="15" x14ac:dyDescent="0.25">
      <c r="B61" s="76"/>
      <c r="C61" s="80"/>
    </row>
    <row r="62" spans="2:3" ht="15" x14ac:dyDescent="0.25">
      <c r="B62" s="73"/>
      <c r="C62" s="80"/>
    </row>
    <row r="63" spans="2:3" ht="15" x14ac:dyDescent="0.25">
      <c r="B63" s="77"/>
      <c r="C63" s="80"/>
    </row>
    <row r="64" spans="2:3" ht="15" x14ac:dyDescent="0.25">
      <c r="B64" s="73"/>
      <c r="C64" s="80"/>
    </row>
    <row r="65" spans="2:3" ht="15" x14ac:dyDescent="0.25">
      <c r="B65" s="74"/>
      <c r="C65" s="80"/>
    </row>
    <row r="66" spans="2:3" ht="15" x14ac:dyDescent="0.25">
      <c r="B66" s="74"/>
      <c r="C66" s="80"/>
    </row>
    <row r="67" spans="2:3" ht="15" x14ac:dyDescent="0.25">
      <c r="B67" s="73"/>
      <c r="C67" s="80"/>
    </row>
    <row r="68" spans="2:3" ht="15" x14ac:dyDescent="0.25">
      <c r="B68" s="73"/>
      <c r="C68" s="80"/>
    </row>
    <row r="69" spans="2:3" ht="15" x14ac:dyDescent="0.25">
      <c r="B69" s="73"/>
      <c r="C69" s="80"/>
    </row>
    <row r="70" spans="2:3" ht="15" x14ac:dyDescent="0.25">
      <c r="B70" s="74"/>
      <c r="C70" s="78"/>
    </row>
    <row r="71" spans="2:3" ht="15" x14ac:dyDescent="0.25">
      <c r="B71" s="73"/>
      <c r="C71" s="80"/>
    </row>
    <row r="72" spans="2:3" ht="15" x14ac:dyDescent="0.25">
      <c r="B72" s="73"/>
      <c r="C72" s="80"/>
    </row>
    <row r="73" spans="2:3" ht="15" x14ac:dyDescent="0.25">
      <c r="B73" s="73"/>
      <c r="C73" s="80"/>
    </row>
    <row r="74" spans="2:3" ht="15" x14ac:dyDescent="0.25">
      <c r="B74" s="73"/>
      <c r="C74" s="80"/>
    </row>
    <row r="75" spans="2:3" ht="15" x14ac:dyDescent="0.25">
      <c r="B75" s="73"/>
      <c r="C75" s="80"/>
    </row>
    <row r="76" spans="2:3" ht="15" x14ac:dyDescent="0.25">
      <c r="B76" s="73"/>
      <c r="C76" s="80"/>
    </row>
    <row r="77" spans="2:3" ht="15" x14ac:dyDescent="0.25">
      <c r="B77" s="73"/>
      <c r="C77" s="80"/>
    </row>
    <row r="78" spans="2:3" ht="15" x14ac:dyDescent="0.25">
      <c r="B78" s="73"/>
      <c r="C78" s="80"/>
    </row>
    <row r="79" spans="2:3" ht="15" x14ac:dyDescent="0.25">
      <c r="B79" s="73"/>
      <c r="C79" s="80"/>
    </row>
  </sheetData>
  <pageMargins left="0.74803149606299213" right="0.74803149606299213" top="0.98425196850393704" bottom="0.98425196850393704" header="0.51181102362204722" footer="0.51181102362204722"/>
  <pageSetup paperSize="9" scale="39" orientation="landscape" r:id="rId1"/>
  <headerFooter alignWithMargins="0"/>
  <colBreaks count="1" manualBreakCount="1">
    <brk id="7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"/>
  <sheetViews>
    <sheetView workbookViewId="0">
      <selection activeCell="I13" sqref="I13"/>
    </sheetView>
  </sheetViews>
  <sheetFormatPr defaultRowHeight="12.75" x14ac:dyDescent="0.2"/>
  <cols>
    <col min="1" max="1" width="17.42578125" bestFit="1" customWidth="1"/>
    <col min="6" max="6" width="11.42578125" customWidth="1"/>
    <col min="9" max="9" width="9.140625" style="5"/>
    <col min="10" max="10" width="14.5703125" style="5" customWidth="1"/>
    <col min="11" max="11" width="11.140625" style="5" customWidth="1"/>
    <col min="12" max="12" width="12.7109375" style="5" customWidth="1"/>
    <col min="13" max="13" width="9.140625" style="5"/>
    <col min="14" max="14" width="13.140625" style="5" customWidth="1"/>
    <col min="15" max="15" width="11.140625" style="5" customWidth="1"/>
  </cols>
  <sheetData>
    <row r="1" spans="1:15" x14ac:dyDescent="0.2">
      <c r="A1" s="1" t="s">
        <v>9</v>
      </c>
      <c r="B1" s="65">
        <v>0.66666666666666663</v>
      </c>
      <c r="C1" s="3"/>
      <c r="D1" s="2"/>
      <c r="I1" s="7"/>
      <c r="M1" s="7"/>
    </row>
    <row r="2" spans="1:15" ht="38.25" x14ac:dyDescent="0.2">
      <c r="A2" s="3" t="s">
        <v>0</v>
      </c>
      <c r="B2" s="3" t="s">
        <v>1</v>
      </c>
      <c r="C2" s="3">
        <v>270</v>
      </c>
      <c r="D2" s="3">
        <v>271</v>
      </c>
      <c r="E2" s="3" t="s">
        <v>2</v>
      </c>
      <c r="F2" s="4" t="s">
        <v>3</v>
      </c>
      <c r="H2" s="3" t="s">
        <v>4</v>
      </c>
      <c r="J2" s="10" t="s">
        <v>5</v>
      </c>
      <c r="K2" s="8"/>
      <c r="L2" s="10" t="s">
        <v>6</v>
      </c>
      <c r="N2" s="10" t="s">
        <v>7</v>
      </c>
      <c r="O2" s="8"/>
    </row>
    <row r="3" spans="1:15" s="5" customFormat="1" x14ac:dyDescent="0.2">
      <c r="A3" s="9"/>
      <c r="F3" s="8"/>
      <c r="J3" s="11"/>
      <c r="K3" s="8"/>
      <c r="L3" s="11"/>
      <c r="N3" s="11"/>
    </row>
    <row r="4" spans="1:15" x14ac:dyDescent="0.2">
      <c r="A4" s="59"/>
      <c r="B4" s="60" t="s">
        <v>41</v>
      </c>
      <c r="E4" s="5" t="e">
        <f>D4/C4</f>
        <v>#DIV/0!</v>
      </c>
      <c r="F4" t="e">
        <f>E4-$E$4</f>
        <v>#DIV/0!</v>
      </c>
      <c r="H4">
        <f>'GC data'!BI15</f>
        <v>23.49060413244359</v>
      </c>
      <c r="J4" s="55"/>
      <c r="L4" s="56">
        <f>(H4/100)*J4</f>
        <v>0</v>
      </c>
      <c r="N4" s="56" t="e">
        <f>L4*F4</f>
        <v>#DIV/0!</v>
      </c>
    </row>
    <row r="5" spans="1:15" x14ac:dyDescent="0.2">
      <c r="A5" s="59"/>
      <c r="B5" s="60"/>
      <c r="C5" s="60"/>
      <c r="E5" s="5"/>
      <c r="J5" s="55"/>
      <c r="L5" s="56"/>
      <c r="N5" s="56"/>
    </row>
    <row r="6" spans="1:15" x14ac:dyDescent="0.2">
      <c r="A6" s="59"/>
      <c r="B6">
        <v>1</v>
      </c>
      <c r="E6" s="5" t="e">
        <f t="shared" ref="E6:E23" si="0">D6/C6</f>
        <v>#DIV/0!</v>
      </c>
      <c r="F6" t="e">
        <f t="shared" ref="F6:F23" si="1">E6-$E$4</f>
        <v>#DIV/0!</v>
      </c>
      <c r="H6">
        <f>'GC data'!BJ$15</f>
        <v>24.851808394762781</v>
      </c>
      <c r="J6" s="55"/>
      <c r="L6" s="56">
        <f t="shared" ref="L6:L11" si="2">(H6/100)*J6</f>
        <v>0</v>
      </c>
      <c r="N6" s="56" t="e">
        <f t="shared" ref="N6:N11" si="3">L6*F6</f>
        <v>#DIV/0!</v>
      </c>
    </row>
    <row r="7" spans="1:15" x14ac:dyDescent="0.2">
      <c r="A7" s="59"/>
      <c r="B7">
        <v>2</v>
      </c>
      <c r="E7" s="5" t="e">
        <f t="shared" si="0"/>
        <v>#DIV/0!</v>
      </c>
      <c r="F7" t="e">
        <f t="shared" si="1"/>
        <v>#DIV/0!</v>
      </c>
      <c r="H7">
        <f>'GC data'!BK$15</f>
        <v>26.001895646198022</v>
      </c>
      <c r="J7" s="55"/>
      <c r="L7" s="56">
        <f t="shared" si="2"/>
        <v>0</v>
      </c>
      <c r="N7" s="56" t="e">
        <f t="shared" si="3"/>
        <v>#DIV/0!</v>
      </c>
    </row>
    <row r="8" spans="1:15" x14ac:dyDescent="0.2">
      <c r="A8" s="59"/>
      <c r="B8" s="60">
        <v>3</v>
      </c>
      <c r="C8" s="60"/>
      <c r="E8" s="5" t="e">
        <f t="shared" si="0"/>
        <v>#DIV/0!</v>
      </c>
      <c r="F8" t="e">
        <f t="shared" si="1"/>
        <v>#DIV/0!</v>
      </c>
      <c r="H8">
        <f>'GC data'!BL$15</f>
        <v>20.214555984747676</v>
      </c>
      <c r="J8" s="55"/>
      <c r="L8" s="56">
        <f t="shared" si="2"/>
        <v>0</v>
      </c>
      <c r="N8" s="56" t="e">
        <f t="shared" si="3"/>
        <v>#DIV/0!</v>
      </c>
    </row>
    <row r="9" spans="1:15" x14ac:dyDescent="0.2">
      <c r="A9" s="59"/>
      <c r="B9">
        <v>4</v>
      </c>
      <c r="E9" s="5" t="e">
        <f t="shared" si="0"/>
        <v>#DIV/0!</v>
      </c>
      <c r="F9" t="e">
        <f t="shared" si="1"/>
        <v>#DIV/0!</v>
      </c>
      <c r="H9">
        <f>'GC data'!BM$15</f>
        <v>20.481115742917307</v>
      </c>
      <c r="J9" s="55"/>
      <c r="L9" s="56">
        <f t="shared" si="2"/>
        <v>0</v>
      </c>
      <c r="N9" s="56" t="e">
        <f t="shared" si="3"/>
        <v>#DIV/0!</v>
      </c>
    </row>
    <row r="10" spans="1:15" x14ac:dyDescent="0.2">
      <c r="A10" s="59"/>
      <c r="B10">
        <v>5</v>
      </c>
      <c r="E10" s="5" t="e">
        <f t="shared" si="0"/>
        <v>#DIV/0!</v>
      </c>
      <c r="F10" t="e">
        <f t="shared" si="1"/>
        <v>#DIV/0!</v>
      </c>
      <c r="H10">
        <f>'GC data'!BN$15</f>
        <v>21.287384794809146</v>
      </c>
      <c r="J10" s="55"/>
      <c r="L10" s="56">
        <f t="shared" si="2"/>
        <v>0</v>
      </c>
      <c r="N10" s="56" t="e">
        <f t="shared" si="3"/>
        <v>#DIV/0!</v>
      </c>
    </row>
    <row r="11" spans="1:15" x14ac:dyDescent="0.2">
      <c r="A11" s="59"/>
      <c r="B11">
        <v>6</v>
      </c>
      <c r="E11" s="5" t="e">
        <f t="shared" si="0"/>
        <v>#DIV/0!</v>
      </c>
      <c r="F11" t="e">
        <f t="shared" si="1"/>
        <v>#DIV/0!</v>
      </c>
      <c r="H11">
        <f>'GC data'!BO$15</f>
        <v>26.34485681039407</v>
      </c>
      <c r="J11" s="55"/>
      <c r="L11" s="56">
        <f t="shared" si="2"/>
        <v>0</v>
      </c>
      <c r="N11" s="56" t="e">
        <f t="shared" si="3"/>
        <v>#DIV/0!</v>
      </c>
    </row>
    <row r="12" spans="1:15" x14ac:dyDescent="0.2">
      <c r="A12" s="6"/>
      <c r="B12">
        <v>7</v>
      </c>
      <c r="E12" s="5" t="e">
        <f t="shared" si="0"/>
        <v>#DIV/0!</v>
      </c>
      <c r="F12" t="e">
        <f t="shared" si="1"/>
        <v>#DIV/0!</v>
      </c>
      <c r="H12">
        <f>'GC data'!BP$15</f>
        <v>26.166337646368753</v>
      </c>
      <c r="J12" s="55"/>
      <c r="L12" s="56"/>
    </row>
    <row r="13" spans="1:15" x14ac:dyDescent="0.2">
      <c r="A13" s="12"/>
      <c r="B13">
        <v>8</v>
      </c>
      <c r="E13" s="5" t="e">
        <f t="shared" si="0"/>
        <v>#DIV/0!</v>
      </c>
      <c r="F13" t="e">
        <f t="shared" si="1"/>
        <v>#DIV/0!</v>
      </c>
      <c r="H13">
        <f>'GC data'!BQ$15</f>
        <v>26.285097338013639</v>
      </c>
      <c r="L13" s="56"/>
    </row>
    <row r="14" spans="1:15" x14ac:dyDescent="0.2">
      <c r="A14" s="59"/>
      <c r="B14" s="60">
        <v>9</v>
      </c>
      <c r="C14" s="60"/>
      <c r="E14" s="5" t="e">
        <f t="shared" si="0"/>
        <v>#DIV/0!</v>
      </c>
      <c r="F14" t="e">
        <f t="shared" si="1"/>
        <v>#DIV/0!</v>
      </c>
      <c r="H14">
        <f>'GC data'!BP$15</f>
        <v>26.166337646368753</v>
      </c>
      <c r="J14" s="55"/>
      <c r="L14" s="56">
        <f t="shared" ref="L14:L23" si="4">(H14/100)*J14</f>
        <v>0</v>
      </c>
      <c r="N14" s="5" t="e">
        <f t="shared" ref="N14:N23" si="5">L14*F14</f>
        <v>#DIV/0!</v>
      </c>
    </row>
    <row r="15" spans="1:15" x14ac:dyDescent="0.2">
      <c r="A15" s="59"/>
      <c r="B15">
        <v>10</v>
      </c>
      <c r="E15" s="5" t="e">
        <f t="shared" si="0"/>
        <v>#DIV/0!</v>
      </c>
      <c r="F15" t="e">
        <f t="shared" si="1"/>
        <v>#DIV/0!</v>
      </c>
      <c r="H15">
        <f>'GC data'!BQ$15</f>
        <v>26.285097338013639</v>
      </c>
      <c r="J15" s="55"/>
      <c r="L15" s="56">
        <f t="shared" si="4"/>
        <v>0</v>
      </c>
      <c r="N15" s="5" t="e">
        <f t="shared" si="5"/>
        <v>#DIV/0!</v>
      </c>
    </row>
    <row r="16" spans="1:15" x14ac:dyDescent="0.2">
      <c r="A16" s="59"/>
      <c r="B16">
        <v>11</v>
      </c>
      <c r="E16" s="5" t="e">
        <f t="shared" si="0"/>
        <v>#DIV/0!</v>
      </c>
      <c r="F16" t="e">
        <f t="shared" si="1"/>
        <v>#DIV/0!</v>
      </c>
      <c r="H16">
        <f>'GC data'!BR$15</f>
        <v>29.131084581030137</v>
      </c>
      <c r="J16" s="55"/>
      <c r="L16" s="56">
        <f t="shared" si="4"/>
        <v>0</v>
      </c>
      <c r="N16" s="5" t="e">
        <f t="shared" si="5"/>
        <v>#DIV/0!</v>
      </c>
    </row>
    <row r="17" spans="1:14" x14ac:dyDescent="0.2">
      <c r="A17" s="59"/>
      <c r="B17" s="60">
        <v>12</v>
      </c>
      <c r="C17" s="60"/>
      <c r="E17" s="5" t="e">
        <f t="shared" si="0"/>
        <v>#DIV/0!</v>
      </c>
      <c r="F17" t="e">
        <f t="shared" si="1"/>
        <v>#DIV/0!</v>
      </c>
      <c r="H17">
        <f>'GC data'!BS$15</f>
        <v>27.425682008987099</v>
      </c>
      <c r="J17" s="55"/>
      <c r="L17" s="56">
        <f t="shared" si="4"/>
        <v>0</v>
      </c>
      <c r="N17" s="5" t="e">
        <f t="shared" si="5"/>
        <v>#DIV/0!</v>
      </c>
    </row>
    <row r="18" spans="1:14" x14ac:dyDescent="0.2">
      <c r="A18" s="59"/>
      <c r="B18">
        <v>13</v>
      </c>
      <c r="E18" s="5" t="e">
        <f t="shared" si="0"/>
        <v>#DIV/0!</v>
      </c>
      <c r="F18" t="e">
        <f t="shared" si="1"/>
        <v>#DIV/0!</v>
      </c>
      <c r="H18">
        <f>'GC data'!BT$15</f>
        <v>25.938355363556234</v>
      </c>
      <c r="J18" s="55"/>
      <c r="L18" s="56">
        <f t="shared" si="4"/>
        <v>0</v>
      </c>
      <c r="N18" s="5" t="e">
        <f t="shared" si="5"/>
        <v>#DIV/0!</v>
      </c>
    </row>
    <row r="19" spans="1:14" x14ac:dyDescent="0.2">
      <c r="A19" s="59"/>
      <c r="B19">
        <v>14</v>
      </c>
      <c r="E19" s="5" t="e">
        <f t="shared" si="0"/>
        <v>#DIV/0!</v>
      </c>
      <c r="F19" t="e">
        <f t="shared" si="1"/>
        <v>#DIV/0!</v>
      </c>
      <c r="H19">
        <f>'GC data'!BU$15</f>
        <v>0</v>
      </c>
      <c r="J19" s="55"/>
      <c r="L19" s="56">
        <f t="shared" si="4"/>
        <v>0</v>
      </c>
      <c r="N19" s="5" t="e">
        <f t="shared" si="5"/>
        <v>#DIV/0!</v>
      </c>
    </row>
    <row r="20" spans="1:14" x14ac:dyDescent="0.2">
      <c r="A20" s="59"/>
      <c r="B20" s="60">
        <v>15</v>
      </c>
      <c r="C20" s="60"/>
      <c r="E20" s="5" t="e">
        <f t="shared" si="0"/>
        <v>#DIV/0!</v>
      </c>
      <c r="F20" t="e">
        <f t="shared" si="1"/>
        <v>#DIV/0!</v>
      </c>
      <c r="H20">
        <f>'GC data'!BV$15</f>
        <v>28.098940280665808</v>
      </c>
      <c r="J20" s="55"/>
      <c r="L20" s="56">
        <f t="shared" si="4"/>
        <v>0</v>
      </c>
      <c r="N20" s="5" t="e">
        <f t="shared" si="5"/>
        <v>#DIV/0!</v>
      </c>
    </row>
    <row r="21" spans="1:14" x14ac:dyDescent="0.2">
      <c r="A21" s="59"/>
      <c r="B21">
        <v>16</v>
      </c>
      <c r="E21" s="5" t="e">
        <f t="shared" si="0"/>
        <v>#DIV/0!</v>
      </c>
      <c r="F21" t="e">
        <f t="shared" si="1"/>
        <v>#DIV/0!</v>
      </c>
      <c r="H21">
        <f>'GC data'!BW$15</f>
        <v>28.293370461685207</v>
      </c>
      <c r="J21" s="55"/>
      <c r="L21" s="56">
        <f t="shared" si="4"/>
        <v>0</v>
      </c>
      <c r="N21" s="5" t="e">
        <f t="shared" si="5"/>
        <v>#DIV/0!</v>
      </c>
    </row>
    <row r="22" spans="1:14" x14ac:dyDescent="0.2">
      <c r="A22" s="59"/>
      <c r="B22">
        <v>17</v>
      </c>
      <c r="E22" s="5" t="e">
        <f t="shared" si="0"/>
        <v>#DIV/0!</v>
      </c>
      <c r="F22" t="e">
        <f t="shared" si="1"/>
        <v>#DIV/0!</v>
      </c>
      <c r="H22">
        <f>'GC data'!BX$15</f>
        <v>21.971028983492328</v>
      </c>
      <c r="J22" s="55"/>
      <c r="L22" s="56">
        <f t="shared" si="4"/>
        <v>0</v>
      </c>
      <c r="N22" s="5" t="e">
        <f t="shared" si="5"/>
        <v>#DIV/0!</v>
      </c>
    </row>
    <row r="23" spans="1:14" x14ac:dyDescent="0.2">
      <c r="A23" s="59"/>
      <c r="B23">
        <v>18</v>
      </c>
      <c r="E23" s="5" t="e">
        <f t="shared" si="0"/>
        <v>#DIV/0!</v>
      </c>
      <c r="F23" t="e">
        <f t="shared" si="1"/>
        <v>#DIV/0!</v>
      </c>
      <c r="H23" t="e">
        <f>'GC data'!#REF!</f>
        <v>#REF!</v>
      </c>
      <c r="J23" s="55"/>
      <c r="L23" s="56" t="e">
        <f t="shared" si="4"/>
        <v>#REF!</v>
      </c>
      <c r="N23" s="5" t="e">
        <f t="shared" si="5"/>
        <v>#REF!</v>
      </c>
    </row>
    <row r="24" spans="1:14" x14ac:dyDescent="0.2">
      <c r="A24" s="59"/>
      <c r="E24" s="5"/>
      <c r="J24" s="55"/>
      <c r="L24" s="56"/>
    </row>
    <row r="25" spans="1:14" x14ac:dyDescent="0.2">
      <c r="A25" s="59"/>
      <c r="B25" s="5"/>
      <c r="C25" s="5"/>
      <c r="D25" s="60"/>
      <c r="E25" s="5"/>
      <c r="F25" s="5"/>
      <c r="G25" s="5"/>
      <c r="H25" s="5"/>
      <c r="J25" s="55"/>
      <c r="L25" s="56"/>
    </row>
    <row r="26" spans="1:14" x14ac:dyDescent="0.2">
      <c r="A26" s="6"/>
      <c r="B26" s="5"/>
      <c r="C26" s="5"/>
      <c r="D26" s="5"/>
      <c r="E26" s="5"/>
      <c r="F26" s="5"/>
      <c r="G26" s="5"/>
      <c r="H26" s="5"/>
    </row>
    <row r="27" spans="1:14" x14ac:dyDescent="0.2">
      <c r="A27" s="64">
        <v>0.66736111111111107</v>
      </c>
      <c r="B27" s="5"/>
      <c r="C27" s="5"/>
      <c r="D27" s="5"/>
      <c r="E27" s="5"/>
      <c r="F27" s="5"/>
      <c r="G27" s="5"/>
      <c r="H27" s="5"/>
    </row>
    <row r="28" spans="1:14" ht="38.25" x14ac:dyDescent="0.2">
      <c r="A28" s="3" t="s">
        <v>0</v>
      </c>
      <c r="B28" s="3" t="s">
        <v>1</v>
      </c>
      <c r="C28" s="3">
        <v>268</v>
      </c>
      <c r="D28" s="3">
        <v>269</v>
      </c>
      <c r="E28" s="3" t="s">
        <v>2</v>
      </c>
      <c r="F28" s="4" t="s">
        <v>3</v>
      </c>
      <c r="H28" s="3" t="s">
        <v>35</v>
      </c>
      <c r="J28" s="10" t="s">
        <v>5</v>
      </c>
      <c r="K28" s="8"/>
      <c r="L28" s="10" t="s">
        <v>36</v>
      </c>
      <c r="N28" s="10" t="s">
        <v>37</v>
      </c>
    </row>
    <row r="29" spans="1:14" x14ac:dyDescent="0.2">
      <c r="A29" s="9"/>
      <c r="B29" s="5"/>
      <c r="C29" s="5"/>
      <c r="D29" s="5"/>
      <c r="E29" s="5"/>
      <c r="F29" s="8"/>
      <c r="G29" s="5"/>
      <c r="H29" s="5"/>
      <c r="J29" s="11"/>
      <c r="K29" s="8"/>
      <c r="L29" s="11"/>
      <c r="N29" s="11"/>
    </row>
    <row r="30" spans="1:14" x14ac:dyDescent="0.2">
      <c r="A30" s="59"/>
      <c r="B30" s="60" t="s">
        <v>41</v>
      </c>
      <c r="E30" s="5">
        <f>((D30/1000)+1)*0.0112372*17/16</f>
        <v>1.1939524999999999E-2</v>
      </c>
      <c r="F30">
        <f t="shared" ref="F30:F37" si="6">E30-$E$30</f>
        <v>0</v>
      </c>
      <c r="H30" t="e">
        <f>'GC data'!#REF!</f>
        <v>#REF!</v>
      </c>
      <c r="J30" s="55">
        <f t="shared" ref="J30:J37" si="7">J4</f>
        <v>0</v>
      </c>
      <c r="L30" s="56" t="e">
        <f>(H30/100)*J30</f>
        <v>#REF!</v>
      </c>
      <c r="N30" s="56" t="e">
        <f>L30*F30</f>
        <v>#REF!</v>
      </c>
    </row>
    <row r="31" spans="1:14" x14ac:dyDescent="0.2">
      <c r="A31" s="59"/>
      <c r="B31" s="60"/>
      <c r="C31" s="60"/>
      <c r="E31" s="5">
        <f t="shared" ref="E31:E37" si="8">((D31/1000)+1)*0.0112372*17/16</f>
        <v>1.1939524999999999E-2</v>
      </c>
      <c r="F31">
        <f t="shared" si="6"/>
        <v>0</v>
      </c>
      <c r="H31">
        <f>'GC data'!BI$17</f>
        <v>13.513359021796241</v>
      </c>
      <c r="J31" s="55">
        <f t="shared" si="7"/>
        <v>0</v>
      </c>
      <c r="L31" s="56">
        <f t="shared" ref="L31:L37" si="9">(H31/100)*J31</f>
        <v>0</v>
      </c>
      <c r="N31" s="56">
        <f t="shared" ref="N31:N37" si="10">L31*F31</f>
        <v>0</v>
      </c>
    </row>
    <row r="32" spans="1:14" x14ac:dyDescent="0.2">
      <c r="A32" s="59"/>
      <c r="B32">
        <v>1</v>
      </c>
      <c r="E32" s="5">
        <f t="shared" si="8"/>
        <v>1.1939524999999999E-2</v>
      </c>
      <c r="F32">
        <f t="shared" si="6"/>
        <v>0</v>
      </c>
      <c r="H32">
        <f>'GC data'!BJ$17</f>
        <v>15.527830381761463</v>
      </c>
      <c r="J32" s="55">
        <f t="shared" si="7"/>
        <v>0</v>
      </c>
      <c r="L32" s="56">
        <f t="shared" si="9"/>
        <v>0</v>
      </c>
      <c r="N32" s="56">
        <f t="shared" si="10"/>
        <v>0</v>
      </c>
    </row>
    <row r="33" spans="1:14" x14ac:dyDescent="0.2">
      <c r="A33" s="59"/>
      <c r="B33">
        <v>2</v>
      </c>
      <c r="E33" s="5">
        <f t="shared" si="8"/>
        <v>1.1939524999999999E-2</v>
      </c>
      <c r="F33">
        <f t="shared" si="6"/>
        <v>0</v>
      </c>
      <c r="H33">
        <f>'GC data'!BK$17</f>
        <v>14.894178064118535</v>
      </c>
      <c r="J33" s="55">
        <f t="shared" si="7"/>
        <v>0</v>
      </c>
      <c r="L33" s="56">
        <f t="shared" si="9"/>
        <v>0</v>
      </c>
      <c r="N33" s="56">
        <f t="shared" si="10"/>
        <v>0</v>
      </c>
    </row>
    <row r="34" spans="1:14" x14ac:dyDescent="0.2">
      <c r="A34" s="59"/>
      <c r="B34" s="60">
        <v>3</v>
      </c>
      <c r="C34" s="60"/>
      <c r="E34" s="5">
        <f t="shared" si="8"/>
        <v>1.1939524999999999E-2</v>
      </c>
      <c r="F34">
        <f t="shared" si="6"/>
        <v>0</v>
      </c>
      <c r="H34">
        <f>'GC data'!BL$17</f>
        <v>6.503906316311137</v>
      </c>
      <c r="J34" s="55">
        <f t="shared" si="7"/>
        <v>0</v>
      </c>
      <c r="L34" s="56">
        <f t="shared" si="9"/>
        <v>0</v>
      </c>
      <c r="N34" s="56">
        <f t="shared" si="10"/>
        <v>0</v>
      </c>
    </row>
    <row r="35" spans="1:14" x14ac:dyDescent="0.2">
      <c r="A35" s="59"/>
      <c r="B35">
        <v>4</v>
      </c>
      <c r="E35" s="5">
        <f t="shared" si="8"/>
        <v>1.1939524999999999E-2</v>
      </c>
      <c r="F35">
        <f t="shared" si="6"/>
        <v>0</v>
      </c>
      <c r="H35">
        <f>'GC data'!BM$17</f>
        <v>6.5066511028307001</v>
      </c>
      <c r="J35" s="55">
        <f t="shared" si="7"/>
        <v>0</v>
      </c>
      <c r="L35" s="56">
        <f t="shared" si="9"/>
        <v>0</v>
      </c>
      <c r="N35" s="56">
        <f t="shared" si="10"/>
        <v>0</v>
      </c>
    </row>
    <row r="36" spans="1:14" x14ac:dyDescent="0.2">
      <c r="A36" s="59"/>
      <c r="B36">
        <v>5</v>
      </c>
      <c r="E36" s="5">
        <f t="shared" si="8"/>
        <v>1.1939524999999999E-2</v>
      </c>
      <c r="F36">
        <f t="shared" si="6"/>
        <v>0</v>
      </c>
      <c r="H36">
        <f>'GC data'!BN$17</f>
        <v>6.3232614647468948</v>
      </c>
      <c r="J36" s="55">
        <f t="shared" si="7"/>
        <v>0</v>
      </c>
      <c r="L36" s="56">
        <f t="shared" si="9"/>
        <v>0</v>
      </c>
      <c r="N36" s="56">
        <f t="shared" si="10"/>
        <v>0</v>
      </c>
    </row>
    <row r="37" spans="1:14" x14ac:dyDescent="0.2">
      <c r="A37" s="59"/>
      <c r="B37">
        <v>6</v>
      </c>
      <c r="E37" s="5">
        <f t="shared" si="8"/>
        <v>1.1939524999999999E-2</v>
      </c>
      <c r="F37">
        <f t="shared" si="6"/>
        <v>0</v>
      </c>
      <c r="H37">
        <f>'GC data'!BO$17</f>
        <v>3.8966625011561464</v>
      </c>
      <c r="J37" s="55">
        <f t="shared" si="7"/>
        <v>0</v>
      </c>
      <c r="L37" s="56">
        <f t="shared" si="9"/>
        <v>0</v>
      </c>
      <c r="N37" s="56">
        <f t="shared" si="10"/>
        <v>0</v>
      </c>
    </row>
    <row r="38" spans="1:14" x14ac:dyDescent="0.2">
      <c r="A38" s="59"/>
      <c r="B38">
        <v>7</v>
      </c>
      <c r="E38" s="5"/>
      <c r="J38" s="55"/>
      <c r="L38" s="56"/>
    </row>
    <row r="39" spans="1:14" x14ac:dyDescent="0.2">
      <c r="A39" s="59"/>
      <c r="B39">
        <v>8</v>
      </c>
      <c r="E39" s="5"/>
      <c r="J39" s="55"/>
      <c r="L39" s="56"/>
    </row>
    <row r="40" spans="1:14" x14ac:dyDescent="0.2">
      <c r="A40" s="59"/>
      <c r="B40" s="60">
        <v>9</v>
      </c>
      <c r="C40" s="60"/>
      <c r="E40" s="5">
        <f t="shared" ref="E40:E49" si="11">((D40/1000)+1)*0.0112372*17/16</f>
        <v>1.1939524999999999E-2</v>
      </c>
      <c r="F40">
        <f t="shared" ref="F40:F49" si="12">E40-$E$40</f>
        <v>0</v>
      </c>
      <c r="H40">
        <f>'GC data'!BP$17</f>
        <v>3.814942982921631</v>
      </c>
      <c r="J40" s="55">
        <f t="shared" ref="J40:J49" si="13">J14</f>
        <v>0</v>
      </c>
      <c r="L40" s="56">
        <f t="shared" ref="L40:L49" si="14">(H40/100)*J40</f>
        <v>0</v>
      </c>
      <c r="N40" s="5">
        <f t="shared" ref="N40:N49" si="15">L40*F40</f>
        <v>0</v>
      </c>
    </row>
    <row r="41" spans="1:14" x14ac:dyDescent="0.2">
      <c r="A41" s="59"/>
      <c r="B41">
        <v>10</v>
      </c>
      <c r="E41" s="5">
        <f t="shared" si="11"/>
        <v>1.1939524999999999E-2</v>
      </c>
      <c r="F41">
        <f t="shared" si="12"/>
        <v>0</v>
      </c>
      <c r="H41">
        <f>'GC data'!BQ$17</f>
        <v>3.6311973485316975</v>
      </c>
      <c r="J41" s="55">
        <f t="shared" si="13"/>
        <v>0</v>
      </c>
      <c r="L41" s="56">
        <f t="shared" si="14"/>
        <v>0</v>
      </c>
      <c r="N41" s="5">
        <f t="shared" si="15"/>
        <v>0</v>
      </c>
    </row>
    <row r="42" spans="1:14" x14ac:dyDescent="0.2">
      <c r="A42" s="6"/>
      <c r="B42">
        <v>11</v>
      </c>
      <c r="E42" s="5">
        <f t="shared" si="11"/>
        <v>1.1939524999999999E-2</v>
      </c>
      <c r="F42">
        <f t="shared" si="12"/>
        <v>0</v>
      </c>
      <c r="H42">
        <f>'GC data'!BR$17</f>
        <v>0</v>
      </c>
      <c r="J42" s="55">
        <f t="shared" si="13"/>
        <v>0</v>
      </c>
      <c r="L42" s="56">
        <f t="shared" si="14"/>
        <v>0</v>
      </c>
      <c r="N42" s="5">
        <f t="shared" si="15"/>
        <v>0</v>
      </c>
    </row>
    <row r="43" spans="1:14" s="5" customFormat="1" ht="12" customHeight="1" x14ac:dyDescent="0.2">
      <c r="A43" s="12"/>
      <c r="B43" s="60">
        <v>12</v>
      </c>
      <c r="C43" s="60"/>
      <c r="D43"/>
      <c r="E43" s="5">
        <f t="shared" si="11"/>
        <v>1.1939524999999999E-2</v>
      </c>
      <c r="F43">
        <f t="shared" si="12"/>
        <v>0</v>
      </c>
      <c r="G43"/>
      <c r="H43">
        <f>'GC data'!BS$17</f>
        <v>5.6654723195771561</v>
      </c>
      <c r="J43" s="55">
        <f t="shared" si="13"/>
        <v>0</v>
      </c>
      <c r="L43" s="56">
        <f t="shared" si="14"/>
        <v>0</v>
      </c>
      <c r="N43" s="5">
        <f t="shared" si="15"/>
        <v>0</v>
      </c>
    </row>
    <row r="44" spans="1:14" s="5" customFormat="1" x14ac:dyDescent="0.2">
      <c r="A44" s="59"/>
      <c r="B44">
        <v>13</v>
      </c>
      <c r="C44"/>
      <c r="D44"/>
      <c r="E44" s="5">
        <f t="shared" si="11"/>
        <v>1.1939524999999999E-2</v>
      </c>
      <c r="F44">
        <f t="shared" si="12"/>
        <v>0</v>
      </c>
      <c r="G44"/>
      <c r="H44">
        <f>'GC data'!BT$17</f>
        <v>12.727450644026414</v>
      </c>
      <c r="J44" s="55">
        <f t="shared" si="13"/>
        <v>0</v>
      </c>
      <c r="L44" s="56">
        <f t="shared" si="14"/>
        <v>0</v>
      </c>
      <c r="N44" s="5">
        <f t="shared" si="15"/>
        <v>0</v>
      </c>
    </row>
    <row r="45" spans="1:14" s="5" customFormat="1" x14ac:dyDescent="0.2">
      <c r="A45" s="59"/>
      <c r="B45">
        <v>14</v>
      </c>
      <c r="C45"/>
      <c r="D45"/>
      <c r="E45" s="5">
        <f t="shared" si="11"/>
        <v>1.1939524999999999E-2</v>
      </c>
      <c r="F45">
        <f t="shared" si="12"/>
        <v>0</v>
      </c>
      <c r="G45"/>
      <c r="H45">
        <f>'GC data'!BU$17</f>
        <v>0</v>
      </c>
      <c r="J45" s="55">
        <f t="shared" si="13"/>
        <v>0</v>
      </c>
      <c r="L45" s="56">
        <f t="shared" si="14"/>
        <v>0</v>
      </c>
      <c r="N45" s="5">
        <f t="shared" si="15"/>
        <v>0</v>
      </c>
    </row>
    <row r="46" spans="1:14" s="5" customFormat="1" x14ac:dyDescent="0.2">
      <c r="A46" s="59"/>
      <c r="B46" s="60">
        <v>15</v>
      </c>
      <c r="C46" s="60"/>
      <c r="D46"/>
      <c r="E46" s="5">
        <f t="shared" si="11"/>
        <v>1.1939524999999999E-2</v>
      </c>
      <c r="F46">
        <f t="shared" si="12"/>
        <v>0</v>
      </c>
      <c r="G46"/>
      <c r="H46">
        <f>'GC data'!BV$17</f>
        <v>0</v>
      </c>
      <c r="J46" s="55">
        <f t="shared" si="13"/>
        <v>0</v>
      </c>
      <c r="L46" s="56">
        <f t="shared" si="14"/>
        <v>0</v>
      </c>
      <c r="N46" s="5">
        <f t="shared" si="15"/>
        <v>0</v>
      </c>
    </row>
    <row r="47" spans="1:14" s="5" customFormat="1" x14ac:dyDescent="0.2">
      <c r="A47" s="59"/>
      <c r="B47">
        <v>16</v>
      </c>
      <c r="C47"/>
      <c r="D47"/>
      <c r="E47" s="5">
        <f t="shared" si="11"/>
        <v>1.1939524999999999E-2</v>
      </c>
      <c r="F47">
        <f t="shared" si="12"/>
        <v>0</v>
      </c>
      <c r="G47"/>
      <c r="H47">
        <f>'GC data'!BW$17</f>
        <v>0</v>
      </c>
      <c r="J47" s="55">
        <f t="shared" si="13"/>
        <v>0</v>
      </c>
      <c r="L47" s="56">
        <f t="shared" si="14"/>
        <v>0</v>
      </c>
      <c r="N47" s="5">
        <f t="shared" si="15"/>
        <v>0</v>
      </c>
    </row>
    <row r="48" spans="1:14" s="5" customFormat="1" x14ac:dyDescent="0.2">
      <c r="A48" s="59"/>
      <c r="B48">
        <v>17</v>
      </c>
      <c r="C48"/>
      <c r="D48"/>
      <c r="E48" s="5">
        <f t="shared" si="11"/>
        <v>1.1939524999999999E-2</v>
      </c>
      <c r="F48">
        <f t="shared" si="12"/>
        <v>0</v>
      </c>
      <c r="G48"/>
      <c r="H48">
        <f>'GC data'!BX$17</f>
        <v>0</v>
      </c>
      <c r="J48" s="55">
        <f t="shared" si="13"/>
        <v>0</v>
      </c>
      <c r="L48" s="56">
        <f t="shared" si="14"/>
        <v>0</v>
      </c>
      <c r="N48" s="5">
        <f t="shared" si="15"/>
        <v>0</v>
      </c>
    </row>
    <row r="49" spans="1:14" s="5" customFormat="1" x14ac:dyDescent="0.2">
      <c r="A49" s="59"/>
      <c r="B49">
        <v>18</v>
      </c>
      <c r="C49"/>
      <c r="D49"/>
      <c r="E49" s="5">
        <f t="shared" si="11"/>
        <v>1.1939524999999999E-2</v>
      </c>
      <c r="F49">
        <f t="shared" si="12"/>
        <v>0</v>
      </c>
      <c r="G49"/>
      <c r="H49" t="e">
        <f>'GC data'!#REF!</f>
        <v>#REF!</v>
      </c>
      <c r="J49" s="55">
        <f t="shared" si="13"/>
        <v>0</v>
      </c>
      <c r="L49" s="56" t="e">
        <f t="shared" si="14"/>
        <v>#REF!</v>
      </c>
      <c r="N49" s="5" t="e">
        <f t="shared" si="15"/>
        <v>#REF!</v>
      </c>
    </row>
    <row r="50" spans="1:14" s="5" customFormat="1" x14ac:dyDescent="0.2">
      <c r="A50" s="59"/>
      <c r="B50"/>
      <c r="C50"/>
    </row>
    <row r="51" spans="1:14" s="5" customFormat="1" x14ac:dyDescent="0.2">
      <c r="A51" s="59"/>
    </row>
    <row r="52" spans="1:14" s="5" customFormat="1" x14ac:dyDescent="0.2">
      <c r="A52" s="59"/>
      <c r="B52"/>
      <c r="C52"/>
      <c r="D52"/>
      <c r="F52"/>
      <c r="G52"/>
      <c r="H52"/>
      <c r="J52" s="55"/>
      <c r="L52" s="56"/>
    </row>
    <row r="53" spans="1:14" s="5" customFormat="1" x14ac:dyDescent="0.2">
      <c r="A53" s="59"/>
      <c r="B53"/>
      <c r="C53"/>
      <c r="D53"/>
      <c r="E53"/>
      <c r="F53"/>
      <c r="G53"/>
      <c r="H53"/>
    </row>
    <row r="54" spans="1:14" s="5" customFormat="1" ht="38.25" x14ac:dyDescent="0.2">
      <c r="A54" s="3" t="s">
        <v>0</v>
      </c>
      <c r="B54" s="3" t="s">
        <v>1</v>
      </c>
      <c r="C54" s="3">
        <v>270</v>
      </c>
      <c r="D54" s="3">
        <v>271</v>
      </c>
      <c r="E54" s="3" t="s">
        <v>2</v>
      </c>
      <c r="F54" s="4" t="s">
        <v>3</v>
      </c>
      <c r="G54"/>
      <c r="H54" s="61" t="s">
        <v>39</v>
      </c>
      <c r="J54" s="10" t="s">
        <v>5</v>
      </c>
      <c r="K54" s="8"/>
      <c r="L54" s="10" t="s">
        <v>38</v>
      </c>
      <c r="N54" s="10" t="s">
        <v>40</v>
      </c>
    </row>
    <row r="55" spans="1:14" s="5" customFormat="1" x14ac:dyDescent="0.2">
      <c r="A55" s="9"/>
      <c r="F55" s="8"/>
      <c r="J55" s="11"/>
      <c r="K55" s="8"/>
      <c r="L55" s="11"/>
      <c r="N55" s="11"/>
    </row>
    <row r="56" spans="1:14" s="5" customFormat="1" x14ac:dyDescent="0.2">
      <c r="A56" s="59"/>
      <c r="B56" s="60" t="s">
        <v>41</v>
      </c>
      <c r="C56"/>
      <c r="D56"/>
      <c r="E56" s="5">
        <f>((D56/1000)+1)*0.0112372*17/16</f>
        <v>1.1939524999999999E-2</v>
      </c>
      <c r="F56" t="e">
        <f t="shared" ref="F56:F63" si="16">E56-$E$4</f>
        <v>#DIV/0!</v>
      </c>
      <c r="G56"/>
      <c r="H56" t="e">
        <f>'GC data'!#REF!</f>
        <v>#REF!</v>
      </c>
      <c r="J56" s="55">
        <f>J4</f>
        <v>0</v>
      </c>
      <c r="L56" s="56" t="e">
        <f>(H56/100)*J56</f>
        <v>#REF!</v>
      </c>
      <c r="N56" s="56" t="e">
        <f>L56*F56</f>
        <v>#REF!</v>
      </c>
    </row>
    <row r="57" spans="1:14" s="5" customFormat="1" x14ac:dyDescent="0.2">
      <c r="A57" s="59"/>
      <c r="B57" s="60"/>
      <c r="C57" s="60"/>
      <c r="D57"/>
      <c r="E57" s="5">
        <f t="shared" ref="E57:E63" si="17">((D57/1000)+1)*0.0112372*17/16</f>
        <v>1.1939524999999999E-2</v>
      </c>
      <c r="F57" t="e">
        <f t="shared" si="16"/>
        <v>#DIV/0!</v>
      </c>
      <c r="G57"/>
      <c r="H57">
        <f>'GC data'!BI$23</f>
        <v>4.164184447248247</v>
      </c>
      <c r="J57" s="55">
        <f t="shared" ref="J57:J75" si="18">J5</f>
        <v>0</v>
      </c>
      <c r="L57" s="56">
        <f t="shared" ref="L57:L63" si="19">(H57/100)*J57</f>
        <v>0</v>
      </c>
      <c r="N57" s="56" t="e">
        <f t="shared" ref="N57:N63" si="20">L57*F57</f>
        <v>#DIV/0!</v>
      </c>
    </row>
    <row r="58" spans="1:14" s="5" customFormat="1" x14ac:dyDescent="0.2">
      <c r="A58" s="59"/>
      <c r="B58">
        <v>1</v>
      </c>
      <c r="C58"/>
      <c r="D58"/>
      <c r="E58" s="5">
        <f t="shared" si="17"/>
        <v>1.1939524999999999E-2</v>
      </c>
      <c r="F58" t="e">
        <f t="shared" si="16"/>
        <v>#DIV/0!</v>
      </c>
      <c r="G58"/>
      <c r="H58">
        <f>'GC data'!BJ$23</f>
        <v>2.7868434489017604</v>
      </c>
      <c r="J58" s="55">
        <f t="shared" si="18"/>
        <v>0</v>
      </c>
      <c r="L58" s="56">
        <f t="shared" si="19"/>
        <v>0</v>
      </c>
      <c r="N58" s="56" t="e">
        <f t="shared" si="20"/>
        <v>#DIV/0!</v>
      </c>
    </row>
    <row r="59" spans="1:14" s="5" customFormat="1" x14ac:dyDescent="0.2">
      <c r="A59" s="59"/>
      <c r="B59">
        <v>2</v>
      </c>
      <c r="C59"/>
      <c r="D59"/>
      <c r="E59" s="5">
        <f t="shared" si="17"/>
        <v>1.1939524999999999E-2</v>
      </c>
      <c r="F59" t="e">
        <f t="shared" si="16"/>
        <v>#DIV/0!</v>
      </c>
      <c r="G59"/>
      <c r="H59">
        <f>'GC data'!BK$23</f>
        <v>3.0600546897406105</v>
      </c>
      <c r="J59" s="55">
        <f t="shared" si="18"/>
        <v>0</v>
      </c>
      <c r="L59" s="56">
        <f t="shared" si="19"/>
        <v>0</v>
      </c>
      <c r="N59" s="56" t="e">
        <f t="shared" si="20"/>
        <v>#DIV/0!</v>
      </c>
    </row>
    <row r="60" spans="1:14" s="5" customFormat="1" x14ac:dyDescent="0.2">
      <c r="A60" s="59"/>
      <c r="B60" s="60">
        <v>3</v>
      </c>
      <c r="C60" s="60"/>
      <c r="D60"/>
      <c r="E60" s="5">
        <f t="shared" si="17"/>
        <v>1.1939524999999999E-2</v>
      </c>
      <c r="F60" t="e">
        <f t="shared" si="16"/>
        <v>#DIV/0!</v>
      </c>
      <c r="G60"/>
      <c r="H60">
        <f>'GC data'!BL$23</f>
        <v>8.6351000997269942</v>
      </c>
      <c r="J60" s="55">
        <f t="shared" si="18"/>
        <v>0</v>
      </c>
      <c r="L60" s="56">
        <f t="shared" si="19"/>
        <v>0</v>
      </c>
      <c r="N60" s="56" t="e">
        <f t="shared" si="20"/>
        <v>#DIV/0!</v>
      </c>
    </row>
    <row r="61" spans="1:14" s="5" customFormat="1" x14ac:dyDescent="0.2">
      <c r="A61" s="59"/>
      <c r="B61">
        <v>4</v>
      </c>
      <c r="C61"/>
      <c r="D61"/>
      <c r="E61" s="5">
        <f t="shared" si="17"/>
        <v>1.1939524999999999E-2</v>
      </c>
      <c r="F61" t="e">
        <f t="shared" si="16"/>
        <v>#DIV/0!</v>
      </c>
      <c r="G61"/>
      <c r="H61">
        <f>'GC data'!BM$23</f>
        <v>8.9143317498180377</v>
      </c>
      <c r="J61" s="55">
        <f t="shared" si="18"/>
        <v>0</v>
      </c>
      <c r="L61" s="56">
        <f t="shared" si="19"/>
        <v>0</v>
      </c>
      <c r="N61" s="56" t="e">
        <f t="shared" si="20"/>
        <v>#DIV/0!</v>
      </c>
    </row>
    <row r="62" spans="1:14" s="5" customFormat="1" x14ac:dyDescent="0.2">
      <c r="A62" s="59"/>
      <c r="B62">
        <v>5</v>
      </c>
      <c r="C62"/>
      <c r="D62"/>
      <c r="E62" s="5">
        <f t="shared" si="17"/>
        <v>1.1939524999999999E-2</v>
      </c>
      <c r="F62" t="e">
        <f t="shared" si="16"/>
        <v>#DIV/0!</v>
      </c>
      <c r="G62"/>
      <c r="H62">
        <f>'GC data'!BN$23</f>
        <v>9.2205879345152457</v>
      </c>
      <c r="J62" s="55">
        <f t="shared" si="18"/>
        <v>0</v>
      </c>
      <c r="L62" s="56">
        <f t="shared" si="19"/>
        <v>0</v>
      </c>
      <c r="N62" s="56" t="e">
        <f t="shared" si="20"/>
        <v>#DIV/0!</v>
      </c>
    </row>
    <row r="63" spans="1:14" s="5" customFormat="1" x14ac:dyDescent="0.2">
      <c r="A63" s="59"/>
      <c r="B63">
        <v>6</v>
      </c>
      <c r="C63"/>
      <c r="D63"/>
      <c r="E63" s="5">
        <f t="shared" si="17"/>
        <v>1.1939524999999999E-2</v>
      </c>
      <c r="F63" t="e">
        <f t="shared" si="16"/>
        <v>#DIV/0!</v>
      </c>
      <c r="G63"/>
      <c r="H63">
        <f>'GC data'!BO$23</f>
        <v>11.530176228999927</v>
      </c>
      <c r="J63" s="55">
        <f t="shared" si="18"/>
        <v>0</v>
      </c>
      <c r="L63" s="56">
        <f t="shared" si="19"/>
        <v>0</v>
      </c>
      <c r="N63" s="56" t="e">
        <f t="shared" si="20"/>
        <v>#DIV/0!</v>
      </c>
    </row>
    <row r="64" spans="1:14" s="5" customFormat="1" x14ac:dyDescent="0.2">
      <c r="A64" s="6"/>
      <c r="B64">
        <v>7</v>
      </c>
      <c r="C64"/>
      <c r="D64"/>
      <c r="F64"/>
      <c r="G64"/>
      <c r="H64"/>
      <c r="J64" s="55"/>
      <c r="L64" s="56"/>
    </row>
    <row r="65" spans="1:14" s="5" customFormat="1" x14ac:dyDescent="0.2">
      <c r="A65" s="12"/>
      <c r="B65">
        <v>8</v>
      </c>
      <c r="C65"/>
      <c r="D65"/>
      <c r="F65"/>
      <c r="G65"/>
      <c r="H65"/>
      <c r="J65" s="55"/>
      <c r="L65" s="56"/>
    </row>
    <row r="66" spans="1:14" s="5" customFormat="1" x14ac:dyDescent="0.2">
      <c r="A66" s="59"/>
      <c r="B66" s="60">
        <v>9</v>
      </c>
      <c r="C66" s="60"/>
      <c r="D66"/>
      <c r="E66" s="5">
        <f t="shared" ref="E66:E75" si="21">((D66/1000)+1)*0.0112372*17/16</f>
        <v>1.1939524999999999E-2</v>
      </c>
      <c r="F66" t="e">
        <f t="shared" ref="F66:F75" si="22">E66-$E$14</f>
        <v>#DIV/0!</v>
      </c>
      <c r="G66"/>
      <c r="H66">
        <f>'GC data'!BP$23</f>
        <v>11.650675344060426</v>
      </c>
      <c r="J66" s="55">
        <f t="shared" si="18"/>
        <v>0</v>
      </c>
      <c r="L66" s="56">
        <f t="shared" ref="L66:L75" si="23">(H66/100)*J66</f>
        <v>0</v>
      </c>
      <c r="N66" s="5" t="e">
        <f t="shared" ref="N66:N75" si="24">L66*F66</f>
        <v>#DIV/0!</v>
      </c>
    </row>
    <row r="67" spans="1:14" s="5" customFormat="1" x14ac:dyDescent="0.2">
      <c r="A67" s="59"/>
      <c r="B67">
        <v>10</v>
      </c>
      <c r="C67"/>
      <c r="D67"/>
      <c r="E67" s="5">
        <f t="shared" si="21"/>
        <v>1.1939524999999999E-2</v>
      </c>
      <c r="F67" t="e">
        <f t="shared" si="22"/>
        <v>#DIV/0!</v>
      </c>
      <c r="G67"/>
      <c r="H67">
        <f>'GC data'!BQ$23</f>
        <v>11.900397288652165</v>
      </c>
      <c r="J67" s="55">
        <f t="shared" si="18"/>
        <v>0</v>
      </c>
      <c r="L67" s="56">
        <f t="shared" si="23"/>
        <v>0</v>
      </c>
      <c r="N67" s="5" t="e">
        <f t="shared" si="24"/>
        <v>#DIV/0!</v>
      </c>
    </row>
    <row r="68" spans="1:14" s="5" customFormat="1" x14ac:dyDescent="0.2">
      <c r="A68" s="59"/>
      <c r="B68">
        <v>11</v>
      </c>
      <c r="C68"/>
      <c r="D68"/>
      <c r="E68" s="5">
        <f t="shared" si="21"/>
        <v>1.1939524999999999E-2</v>
      </c>
      <c r="F68" t="e">
        <f t="shared" si="22"/>
        <v>#DIV/0!</v>
      </c>
      <c r="G68"/>
      <c r="H68">
        <f>'GC data'!BR$23</f>
        <v>0</v>
      </c>
      <c r="J68" s="55">
        <f t="shared" si="18"/>
        <v>0</v>
      </c>
      <c r="L68" s="56">
        <f t="shared" si="23"/>
        <v>0</v>
      </c>
      <c r="N68" s="5" t="e">
        <f t="shared" si="24"/>
        <v>#DIV/0!</v>
      </c>
    </row>
    <row r="69" spans="1:14" s="5" customFormat="1" x14ac:dyDescent="0.2">
      <c r="A69" s="59"/>
      <c r="B69" s="60">
        <v>12</v>
      </c>
      <c r="C69" s="60"/>
      <c r="D69"/>
      <c r="E69" s="5">
        <f t="shared" si="21"/>
        <v>1.1939524999999999E-2</v>
      </c>
      <c r="F69" t="e">
        <f t="shared" si="22"/>
        <v>#DIV/0!</v>
      </c>
      <c r="G69"/>
      <c r="H69">
        <f>'GC data'!BS$23</f>
        <v>0</v>
      </c>
      <c r="J69" s="55">
        <f t="shared" si="18"/>
        <v>0</v>
      </c>
      <c r="L69" s="56">
        <f t="shared" si="23"/>
        <v>0</v>
      </c>
      <c r="N69" s="5" t="e">
        <f t="shared" si="24"/>
        <v>#DIV/0!</v>
      </c>
    </row>
    <row r="70" spans="1:14" s="5" customFormat="1" x14ac:dyDescent="0.2">
      <c r="A70" s="59"/>
      <c r="B70">
        <v>13</v>
      </c>
      <c r="C70"/>
      <c r="D70"/>
      <c r="E70" s="5">
        <f t="shared" si="21"/>
        <v>1.1939524999999999E-2</v>
      </c>
      <c r="F70" t="e">
        <f t="shared" si="22"/>
        <v>#DIV/0!</v>
      </c>
      <c r="G70"/>
      <c r="H70">
        <f>'GC data'!BT$23</f>
        <v>0</v>
      </c>
      <c r="J70" s="55">
        <f t="shared" si="18"/>
        <v>0</v>
      </c>
      <c r="L70" s="56">
        <f t="shared" si="23"/>
        <v>0</v>
      </c>
      <c r="N70" s="5" t="e">
        <f t="shared" si="24"/>
        <v>#DIV/0!</v>
      </c>
    </row>
    <row r="71" spans="1:14" s="5" customFormat="1" x14ac:dyDescent="0.2">
      <c r="A71" s="59"/>
      <c r="B71">
        <v>14</v>
      </c>
      <c r="C71"/>
      <c r="D71"/>
      <c r="E71" s="5">
        <f t="shared" si="21"/>
        <v>1.1939524999999999E-2</v>
      </c>
      <c r="F71" t="e">
        <f t="shared" si="22"/>
        <v>#DIV/0!</v>
      </c>
      <c r="G71"/>
      <c r="H71">
        <f>'GC data'!BU$23</f>
        <v>0</v>
      </c>
      <c r="J71" s="55">
        <f t="shared" si="18"/>
        <v>0</v>
      </c>
      <c r="L71" s="56">
        <f t="shared" si="23"/>
        <v>0</v>
      </c>
      <c r="N71" s="5" t="e">
        <f t="shared" si="24"/>
        <v>#DIV/0!</v>
      </c>
    </row>
    <row r="72" spans="1:14" s="5" customFormat="1" x14ac:dyDescent="0.2">
      <c r="A72" s="59"/>
      <c r="B72" s="60">
        <v>15</v>
      </c>
      <c r="C72" s="60"/>
      <c r="D72"/>
      <c r="E72" s="5">
        <f t="shared" si="21"/>
        <v>1.1939524999999999E-2</v>
      </c>
      <c r="F72" t="e">
        <f t="shared" si="22"/>
        <v>#DIV/0!</v>
      </c>
      <c r="G72"/>
      <c r="H72">
        <f>'GC data'!BV$23</f>
        <v>0</v>
      </c>
      <c r="J72" s="55">
        <f t="shared" si="18"/>
        <v>0</v>
      </c>
      <c r="L72" s="56">
        <f t="shared" si="23"/>
        <v>0</v>
      </c>
      <c r="N72" s="5" t="e">
        <f t="shared" si="24"/>
        <v>#DIV/0!</v>
      </c>
    </row>
    <row r="73" spans="1:14" s="5" customFormat="1" x14ac:dyDescent="0.2">
      <c r="A73" s="59"/>
      <c r="B73">
        <v>16</v>
      </c>
      <c r="C73"/>
      <c r="D73"/>
      <c r="E73" s="5">
        <f t="shared" si="21"/>
        <v>1.1939524999999999E-2</v>
      </c>
      <c r="F73" t="e">
        <f t="shared" si="22"/>
        <v>#DIV/0!</v>
      </c>
      <c r="G73"/>
      <c r="H73">
        <f>'GC data'!BW$23</f>
        <v>0</v>
      </c>
      <c r="J73" s="55">
        <f t="shared" si="18"/>
        <v>0</v>
      </c>
      <c r="L73" s="56">
        <f t="shared" si="23"/>
        <v>0</v>
      </c>
      <c r="N73" s="5" t="e">
        <f t="shared" si="24"/>
        <v>#DIV/0!</v>
      </c>
    </row>
    <row r="74" spans="1:14" s="5" customFormat="1" x14ac:dyDescent="0.2">
      <c r="A74" s="59"/>
      <c r="B74">
        <v>17</v>
      </c>
      <c r="C74"/>
      <c r="D74"/>
      <c r="E74" s="5">
        <f t="shared" si="21"/>
        <v>1.1939524999999999E-2</v>
      </c>
      <c r="F74" t="e">
        <f t="shared" si="22"/>
        <v>#DIV/0!</v>
      </c>
      <c r="G74"/>
      <c r="H74">
        <f>'GC data'!BX$23</f>
        <v>5.8572253549060322</v>
      </c>
      <c r="J74" s="55">
        <f t="shared" si="18"/>
        <v>0</v>
      </c>
      <c r="L74" s="56">
        <f t="shared" si="23"/>
        <v>0</v>
      </c>
      <c r="N74" s="5" t="e">
        <f t="shared" si="24"/>
        <v>#DIV/0!</v>
      </c>
    </row>
    <row r="75" spans="1:14" s="5" customFormat="1" x14ac:dyDescent="0.2">
      <c r="A75" s="59"/>
      <c r="B75">
        <v>18</v>
      </c>
      <c r="C75"/>
      <c r="D75"/>
      <c r="E75" s="5">
        <f t="shared" si="21"/>
        <v>1.1939524999999999E-2</v>
      </c>
      <c r="F75" t="e">
        <f t="shared" si="22"/>
        <v>#DIV/0!</v>
      </c>
      <c r="G75"/>
      <c r="H75" t="e">
        <f>'GC data'!#REF!</f>
        <v>#REF!</v>
      </c>
      <c r="J75" s="55">
        <f t="shared" si="18"/>
        <v>0</v>
      </c>
      <c r="L75" s="56" t="e">
        <f t="shared" si="23"/>
        <v>#REF!</v>
      </c>
      <c r="N75" s="5" t="e">
        <f t="shared" si="24"/>
        <v>#REF!</v>
      </c>
    </row>
    <row r="76" spans="1:14" s="5" customFormat="1" x14ac:dyDescent="0.2">
      <c r="A76"/>
      <c r="B76"/>
      <c r="C76"/>
      <c r="D76"/>
      <c r="E76"/>
      <c r="F76"/>
      <c r="G76"/>
      <c r="H76"/>
      <c r="J76" s="55"/>
    </row>
    <row r="77" spans="1:14" s="5" customFormat="1" x14ac:dyDescent="0.2">
      <c r="A77"/>
      <c r="B77"/>
      <c r="C77"/>
      <c r="D77"/>
      <c r="E77"/>
      <c r="F77"/>
      <c r="G77"/>
      <c r="H77"/>
    </row>
  </sheetData>
  <protectedRanges>
    <protectedRange sqref="A14:A18 A30:A34 A44:A48 A4:A8 A66:A70 A56:A60" name="Range2_1"/>
    <protectedRange sqref="A49:A53 A19:A25 A35:A41 A9:A11 A71:A75 A61:A63" name="Range2_1_17"/>
  </protectedRange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 data</vt:lpstr>
      <vt:lpstr>TTRs 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lhodson</dc:creator>
  <cp:lastModifiedBy>Felix Westcott</cp:lastModifiedBy>
  <cp:lastPrinted>2018-12-07T14:07:54Z</cp:lastPrinted>
  <dcterms:created xsi:type="dcterms:W3CDTF">2010-01-02T13:53:33Z</dcterms:created>
  <dcterms:modified xsi:type="dcterms:W3CDTF">2021-11-03T17:04:26Z</dcterms:modified>
</cp:coreProperties>
</file>