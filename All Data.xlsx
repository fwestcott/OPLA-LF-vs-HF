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 LF vs HF/"/>
    </mc:Choice>
  </mc:AlternateContent>
  <xr:revisionPtr revIDLastSave="611" documentId="8_{48FF3F7C-76CF-4E72-9C69-75503B5278BB}" xr6:coauthVersionLast="47" xr6:coauthVersionMax="47" xr10:uidLastSave="{195A9DD6-D7DE-444C-AF4C-FDA833D487E5}"/>
  <bookViews>
    <workbookView xWindow="-120" yWindow="-120" windowWidth="29040" windowHeight="15840" activeTab="3" xr2:uid="{CD4BCCED-9365-49D8-9CBD-F8B850B1D52B}"/>
  </bookViews>
  <sheets>
    <sheet name="Formulas" sheetId="1" r:id="rId1"/>
    <sheet name="All data and averages" sheetId="2" r:id="rId2"/>
    <sheet name="Averages into R" sheetId="3" r:id="rId3"/>
    <sheet name="FA Uptak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2" i="2" l="1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V2" i="1"/>
  <c r="Y2" i="1"/>
  <c r="AA2" i="1"/>
  <c r="V3" i="1"/>
  <c r="W3" i="1"/>
  <c r="X3" i="1"/>
  <c r="Y3" i="1"/>
  <c r="AA3" i="1"/>
  <c r="AB3" i="1"/>
  <c r="V4" i="1"/>
  <c r="W4" i="1"/>
  <c r="X4" i="1"/>
  <c r="Y4" i="1"/>
  <c r="AA4" i="1"/>
  <c r="AB4" i="1"/>
  <c r="V5" i="1"/>
  <c r="W5" i="1"/>
  <c r="X5" i="1"/>
  <c r="Y5" i="1"/>
  <c r="AA5" i="1"/>
  <c r="AB5" i="1"/>
  <c r="V6" i="1"/>
  <c r="W6" i="1"/>
  <c r="X6" i="1"/>
  <c r="Y6" i="1"/>
  <c r="AA6" i="1"/>
  <c r="AB6" i="1"/>
  <c r="V7" i="1"/>
  <c r="W7" i="1"/>
  <c r="X7" i="1"/>
  <c r="Y7" i="1"/>
  <c r="AA7" i="1"/>
  <c r="AB7" i="1"/>
  <c r="V8" i="1"/>
  <c r="W8" i="1"/>
  <c r="X8" i="1"/>
  <c r="Y8" i="1"/>
  <c r="AA8" i="1"/>
  <c r="AB8" i="1"/>
  <c r="V9" i="1"/>
  <c r="W9" i="1"/>
  <c r="X9" i="1"/>
  <c r="Y9" i="1"/>
  <c r="AA9" i="1"/>
  <c r="AB9" i="1"/>
  <c r="V10" i="1"/>
  <c r="W10" i="1"/>
  <c r="X10" i="1"/>
  <c r="Y10" i="1"/>
  <c r="AA10" i="1"/>
  <c r="AB10" i="1"/>
  <c r="V11" i="1"/>
  <c r="W11" i="1"/>
  <c r="X11" i="1"/>
  <c r="Y11" i="1"/>
  <c r="AA11" i="1"/>
  <c r="AB11" i="1"/>
  <c r="V12" i="1"/>
  <c r="W12" i="1"/>
  <c r="X12" i="1"/>
  <c r="Y12" i="1"/>
  <c r="AA12" i="1"/>
  <c r="AB12" i="1"/>
  <c r="V13" i="1"/>
  <c r="W13" i="1"/>
  <c r="X13" i="1"/>
  <c r="Y13" i="1"/>
  <c r="AA13" i="1"/>
  <c r="AB13" i="1"/>
  <c r="V14" i="1"/>
  <c r="W14" i="1"/>
  <c r="X14" i="1"/>
  <c r="Y14" i="1"/>
  <c r="AA14" i="1"/>
  <c r="AB14" i="1"/>
  <c r="V15" i="1"/>
  <c r="W15" i="1"/>
  <c r="X15" i="1"/>
  <c r="Y15" i="1"/>
  <c r="AA15" i="1"/>
  <c r="AB15" i="1"/>
  <c r="V16" i="1"/>
  <c r="W16" i="1"/>
  <c r="X16" i="1"/>
  <c r="Y16" i="1"/>
  <c r="AA16" i="1"/>
  <c r="AB16" i="1"/>
  <c r="V17" i="1"/>
  <c r="W17" i="1"/>
  <c r="X17" i="1"/>
  <c r="Y17" i="1"/>
  <c r="AA17" i="1"/>
  <c r="AB17" i="1"/>
  <c r="V18" i="1"/>
  <c r="W18" i="1"/>
  <c r="X18" i="1"/>
  <c r="Y18" i="1"/>
  <c r="AA18" i="1"/>
  <c r="AB18" i="1"/>
  <c r="V19" i="1"/>
  <c r="W19" i="1"/>
  <c r="X19" i="1"/>
  <c r="Y19" i="1"/>
  <c r="AA19" i="1"/>
  <c r="AB19" i="1"/>
  <c r="V20" i="1"/>
  <c r="W20" i="1"/>
  <c r="X20" i="1"/>
  <c r="Y20" i="1"/>
  <c r="AA20" i="1"/>
  <c r="AB20" i="1"/>
  <c r="V21" i="1"/>
  <c r="W21" i="1"/>
  <c r="X21" i="1"/>
  <c r="Y21" i="1"/>
  <c r="AA21" i="1"/>
  <c r="AB21" i="1"/>
  <c r="V22" i="1"/>
  <c r="W22" i="1"/>
  <c r="X22" i="1"/>
  <c r="Y22" i="1"/>
  <c r="AA22" i="1"/>
  <c r="AB22" i="1"/>
  <c r="V23" i="1"/>
  <c r="W23" i="1"/>
  <c r="X23" i="1"/>
  <c r="Y23" i="1"/>
  <c r="AA23" i="1"/>
  <c r="AB23" i="1"/>
  <c r="V24" i="1"/>
  <c r="W24" i="1"/>
  <c r="X24" i="1"/>
  <c r="Y24" i="1"/>
  <c r="AA24" i="1"/>
  <c r="AB24" i="1"/>
  <c r="V25" i="1"/>
  <c r="W25" i="1"/>
  <c r="X25" i="1"/>
  <c r="Y25" i="1"/>
  <c r="AA25" i="1"/>
  <c r="AB25" i="1"/>
  <c r="V26" i="1"/>
  <c r="W26" i="1"/>
  <c r="X26" i="1"/>
  <c r="Y26" i="1"/>
  <c r="AA26" i="1"/>
  <c r="AB26" i="1"/>
  <c r="V27" i="1"/>
  <c r="W27" i="1"/>
  <c r="X27" i="1"/>
  <c r="Y27" i="1"/>
  <c r="AA27" i="1"/>
  <c r="AB27" i="1"/>
  <c r="V28" i="1"/>
  <c r="W28" i="1"/>
  <c r="X28" i="1"/>
  <c r="Y28" i="1"/>
  <c r="AA28" i="1"/>
  <c r="AB28" i="1"/>
  <c r="V29" i="1"/>
  <c r="W29" i="1"/>
  <c r="X29" i="1"/>
  <c r="Y29" i="1"/>
  <c r="AA29" i="1"/>
  <c r="AB29" i="1"/>
  <c r="V30" i="1"/>
  <c r="W30" i="1"/>
  <c r="X30" i="1"/>
  <c r="Y30" i="1"/>
  <c r="AA30" i="1"/>
  <c r="AB30" i="1"/>
  <c r="V31" i="1"/>
  <c r="W31" i="1"/>
  <c r="X31" i="1"/>
  <c r="Y31" i="1"/>
  <c r="AA31" i="1"/>
  <c r="AB31" i="1"/>
  <c r="V32" i="1"/>
  <c r="W32" i="1"/>
  <c r="X32" i="1"/>
  <c r="Y32" i="1"/>
  <c r="AA32" i="1"/>
  <c r="AB32" i="1"/>
  <c r="V33" i="1"/>
  <c r="W33" i="1"/>
  <c r="X33" i="1"/>
  <c r="Y33" i="1"/>
  <c r="AA33" i="1"/>
  <c r="AB33" i="1"/>
  <c r="V34" i="1"/>
  <c r="W34" i="1"/>
  <c r="X34" i="1"/>
  <c r="Y34" i="1"/>
  <c r="AA34" i="1"/>
  <c r="AB34" i="1"/>
  <c r="V35" i="1"/>
  <c r="W35" i="1"/>
  <c r="X35" i="1"/>
  <c r="Y35" i="1"/>
  <c r="AA35" i="1"/>
  <c r="AB35" i="1"/>
  <c r="V36" i="1"/>
  <c r="W36" i="1"/>
  <c r="X36" i="1"/>
  <c r="Y36" i="1"/>
  <c r="AA36" i="1"/>
  <c r="AB36" i="1"/>
  <c r="V37" i="1"/>
  <c r="W37" i="1"/>
  <c r="X37" i="1"/>
  <c r="Y37" i="1"/>
  <c r="AA37" i="1"/>
  <c r="AB37" i="1"/>
  <c r="V38" i="1"/>
  <c r="W38" i="1"/>
  <c r="X38" i="1"/>
  <c r="Y38" i="1"/>
  <c r="AA38" i="1"/>
  <c r="AB38" i="1"/>
  <c r="V39" i="1"/>
  <c r="W39" i="1"/>
  <c r="X39" i="1"/>
  <c r="Y39" i="1"/>
  <c r="AA39" i="1"/>
  <c r="AB39" i="1"/>
  <c r="V40" i="1"/>
  <c r="W40" i="1"/>
  <c r="X40" i="1"/>
  <c r="Y40" i="1"/>
  <c r="AA40" i="1"/>
  <c r="AB40" i="1"/>
  <c r="V41" i="1"/>
  <c r="W41" i="1"/>
  <c r="X41" i="1"/>
  <c r="Y41" i="1"/>
  <c r="AA41" i="1"/>
  <c r="AB41" i="1"/>
  <c r="V42" i="1"/>
  <c r="W42" i="1"/>
  <c r="X42" i="1"/>
  <c r="Y42" i="1"/>
  <c r="AA42" i="1"/>
  <c r="AB42" i="1"/>
  <c r="V43" i="1"/>
  <c r="W43" i="1"/>
  <c r="X43" i="1"/>
  <c r="Y43" i="1"/>
  <c r="AA43" i="1"/>
  <c r="AB43" i="1"/>
  <c r="V44" i="1"/>
  <c r="W44" i="1"/>
  <c r="X44" i="1"/>
  <c r="Y44" i="1"/>
  <c r="AA44" i="1"/>
  <c r="AB44" i="1"/>
  <c r="V45" i="1"/>
  <c r="W45" i="1"/>
  <c r="X45" i="1"/>
  <c r="Y45" i="1"/>
  <c r="AA45" i="1"/>
  <c r="AB45" i="1"/>
  <c r="V46" i="1"/>
  <c r="W46" i="1"/>
  <c r="X46" i="1"/>
  <c r="Y46" i="1"/>
  <c r="AA46" i="1"/>
  <c r="AB46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AH2" i="2"/>
  <c r="AM8" i="2"/>
  <c r="AJ9" i="2"/>
  <c r="AH10" i="2"/>
  <c r="AG12" i="2"/>
  <c r="AI12" i="2"/>
  <c r="AJ12" i="2"/>
  <c r="AL12" i="2"/>
  <c r="AM12" i="2"/>
  <c r="AH13" i="2"/>
  <c r="AI13" i="2"/>
  <c r="AJ13" i="2"/>
  <c r="AL13" i="2"/>
  <c r="AG14" i="2"/>
  <c r="AH14" i="2"/>
  <c r="AI14" i="2"/>
  <c r="AL14" i="2"/>
  <c r="AM14" i="2"/>
  <c r="AG15" i="2"/>
  <c r="AI15" i="2"/>
  <c r="AM15" i="2"/>
  <c r="AG16" i="2"/>
  <c r="AJ16" i="2"/>
  <c r="AL16" i="2"/>
  <c r="AM16" i="2"/>
  <c r="AF3" i="2"/>
  <c r="AF13" i="2"/>
  <c r="AF15" i="2"/>
  <c r="AF16" i="2"/>
  <c r="AD2" i="2"/>
  <c r="AC2" i="2"/>
  <c r="V2" i="2"/>
  <c r="W2" i="2"/>
  <c r="X2" i="2"/>
  <c r="Y2" i="2"/>
  <c r="Z2" i="2"/>
  <c r="AA2" i="2"/>
  <c r="AB2" i="2"/>
  <c r="AE2" i="2"/>
  <c r="V3" i="2"/>
  <c r="W3" i="2"/>
  <c r="X3" i="2"/>
  <c r="Y3" i="2"/>
  <c r="Z3" i="2"/>
  <c r="AA3" i="2"/>
  <c r="AB3" i="2"/>
  <c r="AC3" i="2"/>
  <c r="AD3" i="2"/>
  <c r="AE3" i="2"/>
  <c r="V4" i="2"/>
  <c r="W4" i="2"/>
  <c r="X4" i="2"/>
  <c r="Y4" i="2"/>
  <c r="Z4" i="2"/>
  <c r="AA4" i="2"/>
  <c r="AB4" i="2"/>
  <c r="AC4" i="2"/>
  <c r="AD4" i="2"/>
  <c r="AE4" i="2"/>
  <c r="V5" i="2"/>
  <c r="W5" i="2"/>
  <c r="X5" i="2"/>
  <c r="Y5" i="2"/>
  <c r="Z5" i="2"/>
  <c r="AA5" i="2"/>
  <c r="AB5" i="2"/>
  <c r="AC5" i="2"/>
  <c r="AD5" i="2"/>
  <c r="AE5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C7" i="2"/>
  <c r="AD7" i="2"/>
  <c r="AE7" i="2"/>
  <c r="V8" i="2"/>
  <c r="W8" i="2"/>
  <c r="X8" i="2"/>
  <c r="Y8" i="2"/>
  <c r="Z8" i="2"/>
  <c r="AA8" i="2"/>
  <c r="AB8" i="2"/>
  <c r="AC8" i="2"/>
  <c r="AD8" i="2"/>
  <c r="AE8" i="2"/>
  <c r="V9" i="2"/>
  <c r="W9" i="2"/>
  <c r="X9" i="2"/>
  <c r="Y9" i="2"/>
  <c r="Z9" i="2"/>
  <c r="AA9" i="2"/>
  <c r="AB9" i="2"/>
  <c r="AC9" i="2"/>
  <c r="AD9" i="2"/>
  <c r="AE9" i="2"/>
  <c r="V10" i="2"/>
  <c r="W10" i="2"/>
  <c r="X10" i="2"/>
  <c r="Y10" i="2"/>
  <c r="Z10" i="2"/>
  <c r="AA10" i="2"/>
  <c r="AB10" i="2"/>
  <c r="AC10" i="2"/>
  <c r="AD10" i="2"/>
  <c r="AE10" i="2"/>
  <c r="V11" i="2"/>
  <c r="W11" i="2"/>
  <c r="X11" i="2"/>
  <c r="Y11" i="2"/>
  <c r="Z11" i="2"/>
  <c r="AA11" i="2"/>
  <c r="AB11" i="2"/>
  <c r="AC11" i="2"/>
  <c r="AD11" i="2"/>
  <c r="AE11" i="2"/>
  <c r="V12" i="2"/>
  <c r="W12" i="2"/>
  <c r="X12" i="2"/>
  <c r="Y12" i="2"/>
  <c r="Z12" i="2"/>
  <c r="AA12" i="2"/>
  <c r="AB12" i="2"/>
  <c r="AC12" i="2"/>
  <c r="AD12" i="2"/>
  <c r="AE12" i="2"/>
  <c r="V13" i="2"/>
  <c r="W13" i="2"/>
  <c r="X13" i="2"/>
  <c r="Y13" i="2"/>
  <c r="Z13" i="2"/>
  <c r="AA13" i="2"/>
  <c r="AB13" i="2"/>
  <c r="AC13" i="2"/>
  <c r="AD13" i="2"/>
  <c r="AE13" i="2"/>
  <c r="V14" i="2"/>
  <c r="W14" i="2"/>
  <c r="X14" i="2"/>
  <c r="Y14" i="2"/>
  <c r="Z14" i="2"/>
  <c r="AA14" i="2"/>
  <c r="AB14" i="2"/>
  <c r="AC14" i="2"/>
  <c r="AD14" i="2"/>
  <c r="AE14" i="2"/>
  <c r="V15" i="2"/>
  <c r="W15" i="2"/>
  <c r="X15" i="2"/>
  <c r="Y15" i="2"/>
  <c r="Z15" i="2"/>
  <c r="AA15" i="2"/>
  <c r="AB15" i="2"/>
  <c r="AC15" i="2"/>
  <c r="AD15" i="2"/>
  <c r="AE15" i="2"/>
  <c r="V16" i="2"/>
  <c r="W16" i="2"/>
  <c r="X16" i="2"/>
  <c r="Y16" i="2"/>
  <c r="Z16" i="2"/>
  <c r="AA16" i="2"/>
  <c r="AB16" i="2"/>
  <c r="AC16" i="2"/>
  <c r="AD16" i="2"/>
  <c r="AE16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M3" i="1"/>
  <c r="M4" i="1"/>
  <c r="M17" i="1"/>
  <c r="M18" i="1"/>
  <c r="M19" i="1"/>
  <c r="M32" i="1"/>
  <c r="M33" i="1"/>
  <c r="M34" i="1"/>
  <c r="M5" i="1"/>
  <c r="M6" i="1"/>
  <c r="M7" i="1"/>
  <c r="M8" i="1"/>
  <c r="M9" i="1"/>
  <c r="M10" i="1"/>
  <c r="M20" i="1"/>
  <c r="M21" i="1"/>
  <c r="M22" i="1"/>
  <c r="M23" i="1"/>
  <c r="M24" i="1"/>
  <c r="M25" i="1"/>
  <c r="M35" i="1"/>
  <c r="M36" i="1"/>
  <c r="M37" i="1"/>
  <c r="M38" i="1"/>
  <c r="M39" i="1"/>
  <c r="M40" i="1"/>
  <c r="M2" i="1"/>
  <c r="AJ4" i="2" l="1"/>
  <c r="AL15" i="2"/>
  <c r="AG13" i="2"/>
  <c r="AJ15" i="2"/>
  <c r="AF4" i="2"/>
  <c r="AH15" i="2"/>
  <c r="AM13" i="2"/>
  <c r="AG11" i="2"/>
  <c r="AF14" i="2"/>
  <c r="AF11" i="2"/>
  <c r="AM11" i="2"/>
  <c r="AI16" i="2"/>
  <c r="AL11" i="2"/>
  <c r="AH5" i="2"/>
  <c r="AH16" i="2"/>
  <c r="AH12" i="2"/>
  <c r="AJ11" i="2"/>
  <c r="AM3" i="2"/>
  <c r="AI11" i="2"/>
  <c r="AF12" i="2"/>
  <c r="AJ14" i="2"/>
  <c r="AH11" i="2"/>
  <c r="AM9" i="2"/>
  <c r="AJ7" i="2"/>
  <c r="AI6" i="2"/>
  <c r="AL2" i="2"/>
  <c r="AF7" i="2"/>
  <c r="AG4" i="2"/>
  <c r="AF2" i="2"/>
  <c r="AF9" i="2"/>
  <c r="AI4" i="2"/>
  <c r="AF6" i="2"/>
  <c r="AH6" i="2"/>
  <c r="AJ5" i="2"/>
  <c r="AM4" i="2"/>
  <c r="AI9" i="2"/>
  <c r="AL8" i="2"/>
  <c r="AI5" i="2"/>
  <c r="AL4" i="2"/>
  <c r="AI2" i="2"/>
  <c r="AF10" i="2"/>
  <c r="AM10" i="2"/>
  <c r="AH8" i="2"/>
  <c r="AM6" i="2"/>
  <c r="AH4" i="2"/>
  <c r="AJ3" i="2"/>
  <c r="AG8" i="2"/>
  <c r="AI7" i="2"/>
  <c r="AI3" i="2"/>
  <c r="AJ2" i="2"/>
  <c r="AJ10" i="2"/>
  <c r="AH7" i="2"/>
  <c r="AJ6" i="2"/>
  <c r="AM5" i="2"/>
  <c r="AH3" i="2"/>
  <c r="AM2" i="2"/>
  <c r="AG2" i="2"/>
  <c r="AL10" i="2"/>
  <c r="AI10" i="2"/>
  <c r="AL9" i="2"/>
  <c r="AG7" i="2"/>
  <c r="AL6" i="2"/>
  <c r="AL5" i="2"/>
  <c r="AG3" i="2"/>
  <c r="AF8" i="2"/>
  <c r="AH9" i="2"/>
  <c r="AJ8" i="2"/>
  <c r="AM7" i="2"/>
  <c r="AF5" i="2"/>
  <c r="AG10" i="2"/>
  <c r="AG9" i="2"/>
  <c r="AI8" i="2"/>
  <c r="AL7" i="2"/>
  <c r="AG6" i="2"/>
  <c r="AG5" i="2"/>
  <c r="AL3" i="2"/>
  <c r="K2" i="1"/>
  <c r="K3" i="1"/>
  <c r="K4" i="1"/>
  <c r="K5" i="1"/>
  <c r="K6" i="1"/>
  <c r="K7" i="1"/>
  <c r="K8" i="1"/>
  <c r="K9" i="1"/>
  <c r="K10" i="1"/>
  <c r="K17" i="1"/>
  <c r="K18" i="1"/>
  <c r="K19" i="1"/>
  <c r="K20" i="1"/>
  <c r="K21" i="1"/>
  <c r="K22" i="1"/>
  <c r="K23" i="1"/>
  <c r="K24" i="1"/>
  <c r="K25" i="1"/>
  <c r="K32" i="1"/>
  <c r="K33" i="1"/>
  <c r="K34" i="1"/>
  <c r="K35" i="1"/>
  <c r="K36" i="1"/>
  <c r="K37" i="1"/>
  <c r="K38" i="1"/>
  <c r="K39" i="1"/>
  <c r="K40" i="1"/>
  <c r="K11" i="1"/>
  <c r="K12" i="1"/>
  <c r="K13" i="1"/>
  <c r="K26" i="1"/>
  <c r="K27" i="1"/>
  <c r="K28" i="1"/>
  <c r="K41" i="1"/>
  <c r="K42" i="1"/>
  <c r="K43" i="1"/>
  <c r="K14" i="1"/>
  <c r="K15" i="1"/>
  <c r="K16" i="1"/>
  <c r="K29" i="1"/>
  <c r="K30" i="1"/>
  <c r="K31" i="1"/>
  <c r="K44" i="1"/>
  <c r="K45" i="1"/>
  <c r="K46" i="1"/>
</calcChain>
</file>

<file path=xl/sharedStrings.xml><?xml version="1.0" encoding="utf-8"?>
<sst xmlns="http://schemas.openxmlformats.org/spreadsheetml/2006/main" count="180" uniqueCount="34">
  <si>
    <t>Round</t>
  </si>
  <si>
    <t>Glucose (mM)</t>
  </si>
  <si>
    <t>Insulin (nM)</t>
  </si>
  <si>
    <t>Fat Mix</t>
  </si>
  <si>
    <t>OPLA</t>
  </si>
  <si>
    <t>Treatment Length (days)</t>
  </si>
  <si>
    <t>Protein (mg/mL)</t>
  </si>
  <si>
    <t>FA</t>
  </si>
  <si>
    <t>Sample ID</t>
  </si>
  <si>
    <t xml:space="preserve">      </t>
  </si>
  <si>
    <t>Glu</t>
  </si>
  <si>
    <t>FrTAG</t>
  </si>
  <si>
    <t>FrApoB</t>
  </si>
  <si>
    <t>NEFA</t>
  </si>
  <si>
    <t>Lac</t>
  </si>
  <si>
    <t>Urea</t>
  </si>
  <si>
    <t>OHB</t>
  </si>
  <si>
    <t>NB - round 4 and 5 were done by CFM</t>
  </si>
  <si>
    <t>Uncorrected TAG</t>
  </si>
  <si>
    <t>Corrected TAG</t>
  </si>
  <si>
    <t>Sample Number</t>
  </si>
  <si>
    <t>Uncorrected PL</t>
  </si>
  <si>
    <t>Corrected PL</t>
  </si>
  <si>
    <t>Uncorrected Glu</t>
  </si>
  <si>
    <t>Uncorrected OHB</t>
  </si>
  <si>
    <t>Uncorrected FrTAG</t>
  </si>
  <si>
    <t>Uncorrected FrApoB</t>
  </si>
  <si>
    <t>Uncorrected NEFA</t>
  </si>
  <si>
    <t>Uncorrected Lac</t>
  </si>
  <si>
    <t>Uncorrected Urea</t>
  </si>
  <si>
    <t xml:space="preserve"> TAG</t>
  </si>
  <si>
    <t>PL</t>
  </si>
  <si>
    <t>Protein</t>
  </si>
  <si>
    <t>FA_Uptake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</si>
</sst>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0" xfId="0" applyFont="1" applyAlignment="1">
      <alignment wrapText="1"/>
    </xf>
    <xf numFmtId="0" fontId="0" fillId="0" borderId="0" xfId="0"/>
    <xf numFmtId="0" fontId="0" fillId="0" borderId="0" xfId="0" applyAlignment="1"/>
    <xf numFmtId="164" fontId="3" fillId="0" borderId="0" xfId="1" applyNumberFormat="1"/>
    <xf numFmtId="164" fontId="3" fillId="0" borderId="0" xfId="1" applyNumberFormat="1" applyAlignment="1">
      <alignment horizontal="right"/>
    </xf>
    <xf numFmtId="164" fontId="0" fillId="0" borderId="0" xfId="0" applyNumberFormat="1"/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3" fillId="0" borderId="0" xfId="1"/>
  </cellXfs>
  <cellStyles count="2">
    <cellStyle name="Normal" xfId="0" builtinId="0"/>
    <cellStyle name="Normal 2" xfId="1" xr:uid="{27F829A8-019C-47CC-9C2B-1D81A0B9BFB8}"/>
  </cellStyles>
  <dxfs count="11"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0" indent="0" justifyLastLine="0" shrinkToFit="0" readingOrder="0"/>
    </dxf>
    <dxf>
      <numFmt numFmtId="164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164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57B9EC-7604-40C0-BB54-22BD425D5E66}" name="Table1" displayName="Table1" ref="A1:AB46" totalsRowShown="0" headerRowDxfId="10">
  <autoFilter ref="A1:AB46" xr:uid="{DA57B9EC-7604-40C0-BB54-22BD425D5E66}"/>
  <sortState xmlns:xlrd2="http://schemas.microsoft.com/office/spreadsheetml/2017/richdata2" ref="A2:T46">
    <sortCondition ref="D1:D46"/>
  </sortState>
  <tableColumns count="28">
    <tableColumn id="1" xr3:uid="{C07E49FB-18BA-42BF-BC74-4A2354FF7DC9}" name="Round"/>
    <tableColumn id="2" xr3:uid="{9208E2A8-3B71-4989-8C94-F2FE256FEFED}" name="Treatment Length (days)"/>
    <tableColumn id="3" xr3:uid="{B16172BF-8E19-4CCB-B04F-88AF955B7DD8}" name="Fat Mix"/>
    <tableColumn id="4" xr3:uid="{068E0AC9-E580-4374-A960-7F28CB00C990}" name="FA"/>
    <tableColumn id="5" xr3:uid="{EFA841FC-9E84-4756-95C9-096863B755EE}" name="Glucose (mM)"/>
    <tableColumn id="6" xr3:uid="{E7029104-CBE0-4015-8C82-700AC796E400}" name="Insulin (nM)"/>
    <tableColumn id="21" xr3:uid="{62FF51DC-2C99-4A66-BA9E-868F4E6A8526}" name="Sample Number"/>
    <tableColumn id="7" xr3:uid="{CB146326-881A-4489-80DF-F5BFAB9AC0F9}" name="Sample ID"/>
    <tableColumn id="8" xr3:uid="{859E603B-703A-4BF6-8477-B276D662465D}" name="Protein (mg/mL)"/>
    <tableColumn id="9" xr3:uid="{F1D1333C-AA32-4990-AB90-89CD92EAC51E}" name="Uncorrected TAG"/>
    <tableColumn id="12" xr3:uid="{DF4C42A2-C91A-4169-B579-1CC0BF9A446B}" name="Corrected TAG" dataDxfId="9">
      <calculatedColumnFormula>Table1[[#This Row],[Uncorrected TAG]]/Table1[[#This Row],[Protein (mg/mL)]]</calculatedColumnFormula>
    </tableColumn>
    <tableColumn id="10" xr3:uid="{312EA9A3-4E75-44FD-98DC-E8CB52A000C1}" name="Uncorrected PL"/>
    <tableColumn id="22" xr3:uid="{7F0F0D7E-251F-4B99-BDB5-4A9DD6863FDA}" name="Corrected PL"/>
    <tableColumn id="13" xr3:uid="{420EB992-3198-4F1B-9AC0-0E60BD934F55}" name="Uncorrected Glu"/>
    <tableColumn id="14" xr3:uid="{396AB8AD-9F98-41FE-9554-5E073530CD50}" name="Uncorrected OHB"/>
    <tableColumn id="15" xr3:uid="{0A92D6E9-AA0B-4275-8D93-917DFC29448C}" name="Uncorrected FrTAG"/>
    <tableColumn id="16" xr3:uid="{E8B38FA7-E16D-4A30-89A1-77B844260A19}" name="Uncorrected FrApoB"/>
    <tableColumn id="17" xr3:uid="{365B449C-277E-4377-B13C-73B70F5EBED5}" name="Uncorrected NEFA"/>
    <tableColumn id="18" xr3:uid="{F0B18BC4-20A9-4F2C-BD1B-465FA52AFC41}" name="Uncorrected Lac"/>
    <tableColumn id="19" xr3:uid="{3D617AC1-278D-4179-85E1-E2B97BEF1FC9}" name="Uncorrected Urea"/>
    <tableColumn id="11" xr3:uid="{E5AFF5D2-EA80-49DF-9BDB-B02C80D1DE13}" name="Glu" dataDxfId="8">
      <calculatedColumnFormula>Table1[[#This Row],[Uncorrected Glu]]/$I2</calculatedColumnFormula>
    </tableColumn>
    <tableColumn id="20" xr3:uid="{2C0C8AAB-1B4F-4A80-81C9-CAA93799D7D3}" name="OHB">
      <calculatedColumnFormula>Table1[[#This Row],[Uncorrected OHB]]/$I2</calculatedColumnFormula>
    </tableColumn>
    <tableColumn id="23" xr3:uid="{2A56EC5C-2375-4D69-8287-B9890AA5C0B3}" name="FrTAG">
      <calculatedColumnFormula>Table1[[#This Row],[Uncorrected FrTAG]]/$I2</calculatedColumnFormula>
    </tableColumn>
    <tableColumn id="24" xr3:uid="{E96B242B-4583-4F10-9F35-03C1622F60F1}" name="FrApoB">
      <calculatedColumnFormula>Table1[[#This Row],[Uncorrected FrApoB]]/$I2</calculatedColumnFormula>
    </tableColumn>
    <tableColumn id="25" xr3:uid="{B69603C1-72C8-46A9-9885-7F0149E4BB22}" name="NEFA">
      <calculatedColumnFormula>Table1[[#This Row],[Uncorrected NEFA]]/$I2</calculatedColumnFormula>
    </tableColumn>
    <tableColumn id="28" xr3:uid="{B5A34460-5430-41F8-AA35-753E4F933A6B}" name="FA_Uptake" dataDxfId="7">
      <calculatedColumnFormula>((Table1[[#This Row],[FA]]-Table1[[#This Row],[NEFA]])/Table1[[#This Row],[FA]])*100</calculatedColumnFormula>
    </tableColumn>
    <tableColumn id="26" xr3:uid="{45D0AF79-3D4E-47F3-A9AD-8F87E3741094}" name="Lac">
      <calculatedColumnFormula>Table1[[#This Row],[Uncorrected Lac]]/$I2</calculatedColumnFormula>
    </tableColumn>
    <tableColumn id="27" xr3:uid="{92EE95B8-F103-46CF-9BCC-DA1619E05A4D}" name="Urea">
      <calculatedColumnFormula>Table1[[#This Row],[Uncorrected Urea]]/$I2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A6B655-62AA-4914-85D3-109FD9A1CD24}" name="Table3" displayName="Table3" ref="U1:AM16" totalsRowShown="0" headerRowDxfId="6" headerRowBorderDxfId="5" tableBorderDxfId="4">
  <autoFilter ref="U1:AM16" xr:uid="{C3A6B655-62AA-4914-85D3-109FD9A1CD24}"/>
  <tableColumns count="19">
    <tableColumn id="1" xr3:uid="{9A6F74FD-B245-46CE-97F6-CB84840D9A5A}" name="Round"/>
    <tableColumn id="2" xr3:uid="{9E336953-D9BB-40EF-BB69-3D6ACA5E09B7}" name="Treatment Length (days)"/>
    <tableColumn id="3" xr3:uid="{B6E3734D-BA22-4A1D-B4B1-52FC87B28CCF}" name="Fat Mix"/>
    <tableColumn id="4" xr3:uid="{FB939C0F-8C3D-4AD7-9805-6370A1E13AA6}" name="FA"/>
    <tableColumn id="5" xr3:uid="{CBBFA57A-B58C-4943-BC96-2B81B61E1B8C}" name="Glucose (mM)"/>
    <tableColumn id="6" xr3:uid="{AEC328E8-B028-4010-AB15-0ED879D15D58}" name="Insulin (nM)"/>
    <tableColumn id="7" xr3:uid="{AF54C847-5448-4E3E-BCA4-8747BDD6C5A9}" name="Sample Number"/>
    <tableColumn id="8" xr3:uid="{1369DBF2-8DD4-4A7F-8274-5CA3D1E01FDF}" name="Sample ID"/>
    <tableColumn id="9" xr3:uid="{D361CCF1-16E0-4D82-8B3C-25A3304F7C05}" name="Protein (mg/mL)"/>
    <tableColumn id="11" xr3:uid="{8A98B09F-F097-49BB-9282-3BD5ADD0B561}" name="Corrected TAG"/>
    <tableColumn id="12" xr3:uid="{A203FEC5-B9D9-4AD5-B7E6-D012CEEEA599}" name="Corrected PL"/>
    <tableColumn id="21" xr3:uid="{33820C3C-929B-493F-A12A-7589AE303F01}" name="Glu"/>
    <tableColumn id="22" xr3:uid="{32678434-D7EC-4AE1-AF06-66AD41980F99}" name="OHB"/>
    <tableColumn id="23" xr3:uid="{40B31549-B550-446C-A73D-9C7DF0994FD0}" name="FrTAG"/>
    <tableColumn id="24" xr3:uid="{9D8D64DD-4919-4AAF-B124-11E8B9C41ABE}" name="FrApoB"/>
    <tableColumn id="25" xr3:uid="{4A7395A8-53F9-4109-B373-42AF8101FCA0}" name="NEFA"/>
    <tableColumn id="10" xr3:uid="{DDFE3143-3BBB-47C9-8C16-1E11739772A7}" name="FA_Uptake"/>
    <tableColumn id="26" xr3:uid="{F9A9FF86-2236-4013-B8A8-60374D02A840}" name="Lac"/>
    <tableColumn id="27" xr3:uid="{486C34F8-CEA4-4925-9E3E-7BF8AE82CC41}" name="Ure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1EDFBA-E6B8-4B30-A8AE-A5B9CF11D086}" name="Table5" displayName="Table5" ref="A1:S46" totalsRowShown="0" headerRowDxfId="3">
  <autoFilter ref="A1:S46" xr:uid="{DE1EDFBA-E6B8-4B30-A8AE-A5B9CF11D086}"/>
  <sortState xmlns:xlrd2="http://schemas.microsoft.com/office/spreadsheetml/2017/richdata2" ref="A2:S46">
    <sortCondition ref="D1:D46"/>
  </sortState>
  <tableColumns count="19">
    <tableColumn id="1" xr3:uid="{7B6E0603-38A6-4168-BD55-8A3DFD106F78}" name="Round"/>
    <tableColumn id="2" xr3:uid="{199C7E98-A5DA-4096-81E9-4870088E2852}" name="Treatment Length (days)"/>
    <tableColumn id="3" xr3:uid="{5FCCF5C1-EA36-4741-A961-83C3EDDBA402}" name="Fat Mix"/>
    <tableColumn id="4" xr3:uid="{5E5CA01A-6434-40D0-94BB-C117016E8C2E}" name="FA"/>
    <tableColumn id="5" xr3:uid="{1F181046-C97E-4BCB-B3EB-BF868D1C9524}" name="Glucose (mM)"/>
    <tableColumn id="6" xr3:uid="{86618043-3E9B-4C9E-A32C-FC06D11B8890}" name="Insulin (nM)"/>
    <tableColumn id="7" xr3:uid="{4EF53264-D3E6-4621-B4FA-10CA65A67316}" name="Sample Number"/>
    <tableColumn id="8" xr3:uid="{798B08F8-9767-4EA6-BA88-103FCE73C44D}" name="Sample ID"/>
    <tableColumn id="9" xr3:uid="{55127398-4D80-4177-93CF-AAE01F3CD0EF}" name="Protein (mg/mL)"/>
    <tableColumn id="11" xr3:uid="{72D2E168-FD8E-4879-A455-843FEA06E31E}" name="Corrected TAG" dataDxfId="2"/>
    <tableColumn id="13" xr3:uid="{67FF7628-56A7-4F40-BB87-FE77630A8868}" name="Corrected PL" dataDxfId="1"/>
    <tableColumn id="21" xr3:uid="{23A5CE17-CB5B-4E4C-9FD9-A2D4C37D81CE}" name="Glu"/>
    <tableColumn id="22" xr3:uid="{408FB571-998A-43BC-8798-9E756D538F8A}" name="OHB"/>
    <tableColumn id="23" xr3:uid="{247D5BD3-801A-40DF-982F-89450A81F289}" name="FrTAG"/>
    <tableColumn id="24" xr3:uid="{92056139-37FB-4497-8B18-284A38489289}" name="FrApoB"/>
    <tableColumn id="25" xr3:uid="{4CC86F3C-E029-4DB5-82D1-BD19BC32CD42}" name="NEFA"/>
    <tableColumn id="10" xr3:uid="{D0A8A79A-3E1F-4486-BCFF-20C99E60B586}" name="FA_Uptake"/>
    <tableColumn id="26" xr3:uid="{9C7E48B2-2C14-4AE6-BF4A-733FC60B835C}" name="Lac"/>
    <tableColumn id="27" xr3:uid="{B94CB93F-0EB1-4510-ABFE-81135A775179}" name="Ure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C2C2-3F4C-481B-BC7A-8BE2747ADFC8}">
  <dimension ref="A1:AF46"/>
  <sheetViews>
    <sheetView topLeftCell="F10" workbookViewId="0">
      <selection activeCell="Z2" sqref="Z2:Z46"/>
    </sheetView>
  </sheetViews>
  <sheetFormatPr defaultRowHeight="15" x14ac:dyDescent="0.25"/>
  <cols>
    <col min="2" max="2" width="24.7109375" customWidth="1"/>
    <col min="3" max="3" width="11.7109375" customWidth="1"/>
    <col min="4" max="4" width="22.28515625" customWidth="1"/>
    <col min="5" max="5" width="15.7109375" customWidth="1"/>
    <col min="6" max="6" width="14" customWidth="1"/>
    <col min="7" max="7" width="14" style="2" customWidth="1"/>
    <col min="8" max="8" width="13.28515625" customWidth="1"/>
    <col min="9" max="9" width="17.7109375" customWidth="1"/>
    <col min="10" max="10" width="12.7109375" hidden="1" customWidth="1"/>
    <col min="11" max="11" width="10.5703125" style="2" customWidth="1"/>
    <col min="12" max="12" width="25.140625" hidden="1" customWidth="1"/>
    <col min="13" max="13" width="10.5703125" style="2" customWidth="1"/>
    <col min="21" max="23" width="9.140625" style="2"/>
    <col min="24" max="24" width="9.5703125" style="2" customWidth="1"/>
    <col min="25" max="25" width="9.140625" style="2"/>
    <col min="26" max="26" width="14.85546875" style="2" customWidth="1"/>
    <col min="27" max="28" width="9.140625" style="2"/>
  </cols>
  <sheetData>
    <row r="1" spans="1:32" s="1" customFormat="1" ht="45" x14ac:dyDescent="0.25">
      <c r="A1" s="1" t="s">
        <v>0</v>
      </c>
      <c r="B1" s="1" t="s">
        <v>5</v>
      </c>
      <c r="C1" s="1" t="s">
        <v>3</v>
      </c>
      <c r="D1" s="1" t="s">
        <v>7</v>
      </c>
      <c r="E1" s="1" t="s">
        <v>1</v>
      </c>
      <c r="F1" s="1" t="s">
        <v>2</v>
      </c>
      <c r="G1" s="1" t="s">
        <v>20</v>
      </c>
      <c r="H1" s="1" t="s">
        <v>8</v>
      </c>
      <c r="I1" s="1" t="s">
        <v>6</v>
      </c>
      <c r="J1" s="1" t="s">
        <v>18</v>
      </c>
      <c r="K1" s="1" t="s">
        <v>19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10</v>
      </c>
      <c r="V1" s="1" t="s">
        <v>16</v>
      </c>
      <c r="W1" s="1" t="s">
        <v>11</v>
      </c>
      <c r="X1" s="1" t="s">
        <v>12</v>
      </c>
      <c r="Y1" s="1" t="s">
        <v>13</v>
      </c>
      <c r="Z1" s="1" t="s">
        <v>33</v>
      </c>
      <c r="AA1" s="1" t="s">
        <v>14</v>
      </c>
      <c r="AB1" s="1" t="s">
        <v>15</v>
      </c>
    </row>
    <row r="2" spans="1:32" x14ac:dyDescent="0.25">
      <c r="A2">
        <v>1</v>
      </c>
      <c r="B2">
        <v>7</v>
      </c>
      <c r="C2" t="s">
        <v>4</v>
      </c>
      <c r="D2">
        <v>0</v>
      </c>
      <c r="E2">
        <v>5.5</v>
      </c>
      <c r="F2">
        <v>0.5</v>
      </c>
      <c r="G2" s="2">
        <v>1</v>
      </c>
      <c r="H2">
        <v>0.1</v>
      </c>
      <c r="I2">
        <v>5.4894677647840009</v>
      </c>
      <c r="J2" s="5">
        <v>166.67717251653835</v>
      </c>
      <c r="K2" s="5">
        <f>Table1[[#This Row],[Uncorrected TAG]]/Table1[[#This Row],[Protein (mg/mL)]]</f>
        <v>30.363084302235038</v>
      </c>
      <c r="L2" s="9">
        <v>1148.8714135693433</v>
      </c>
      <c r="M2" s="9">
        <f>Table1[[#This Row],[Uncorrected PL]]/Table1[[#This Row],[Protein (mg/mL)]]</f>
        <v>209.28648510144754</v>
      </c>
      <c r="N2">
        <v>0</v>
      </c>
      <c r="O2">
        <v>5</v>
      </c>
      <c r="P2" t="s">
        <v>9</v>
      </c>
      <c r="R2">
        <v>54</v>
      </c>
      <c r="S2">
        <v>3.19</v>
      </c>
      <c r="T2" t="s">
        <v>9</v>
      </c>
      <c r="U2" s="2">
        <f>Table1[[#This Row],[Uncorrected Glu]]/$I2</f>
        <v>0</v>
      </c>
      <c r="V2" s="2">
        <f>Table1[[#This Row],[Uncorrected OHB]]/$I2</f>
        <v>0.91083511448522725</v>
      </c>
      <c r="Y2" s="2">
        <f>Table1[[#This Row],[Uncorrected NEFA]]/$I2</f>
        <v>9.8370192364404545</v>
      </c>
      <c r="Z2" s="2" t="e">
        <f>((Table1[[#This Row],[FA]]-Table1[[#This Row],[NEFA]])/Table1[[#This Row],[FA]])*100</f>
        <v>#DIV/0!</v>
      </c>
      <c r="AA2" s="2">
        <f>Table1[[#This Row],[Uncorrected Lac]]/$I2</f>
        <v>0.58111280304157498</v>
      </c>
    </row>
    <row r="3" spans="1:32" x14ac:dyDescent="0.25">
      <c r="A3">
        <v>1</v>
      </c>
      <c r="B3">
        <v>7</v>
      </c>
      <c r="C3" t="s">
        <v>4</v>
      </c>
      <c r="D3">
        <v>0</v>
      </c>
      <c r="E3">
        <v>5.5</v>
      </c>
      <c r="F3">
        <v>0.5</v>
      </c>
      <c r="G3" s="2">
        <v>2</v>
      </c>
      <c r="H3">
        <v>0.2</v>
      </c>
      <c r="I3">
        <v>4.1431660166439999</v>
      </c>
      <c r="J3" s="5">
        <v>143.23376498153459</v>
      </c>
      <c r="K3" s="5">
        <f>Table1[[#This Row],[Uncorrected TAG]]/Table1[[#This Row],[Protein (mg/mL)]]</f>
        <v>34.571089936085926</v>
      </c>
      <c r="L3" s="9">
        <v>1037.8931887025985</v>
      </c>
      <c r="M3" s="9">
        <f>Table1[[#This Row],[Uncorrected PL]]/Table1[[#This Row],[Protein (mg/mL)]]</f>
        <v>250.5072653456694</v>
      </c>
      <c r="N3" s="2">
        <v>0</v>
      </c>
      <c r="O3">
        <v>3</v>
      </c>
      <c r="P3">
        <v>8</v>
      </c>
      <c r="Q3">
        <v>0</v>
      </c>
      <c r="R3">
        <v>55</v>
      </c>
      <c r="S3">
        <v>4.16</v>
      </c>
      <c r="T3">
        <v>0.9</v>
      </c>
      <c r="U3" s="2">
        <f>Table1[[#This Row],[Uncorrected Glu]]/$I3</f>
        <v>0</v>
      </c>
      <c r="V3" s="2">
        <f>Table1[[#This Row],[Uncorrected OHB]]/$I3</f>
        <v>0.72408394641883689</v>
      </c>
      <c r="W3" s="2">
        <f>Table1[[#This Row],[Uncorrected FrTAG]]/$I3</f>
        <v>1.9308905237835652</v>
      </c>
      <c r="X3" s="2">
        <f>Table1[[#This Row],[Uncorrected FrApoB]]/$I3</f>
        <v>0</v>
      </c>
      <c r="Y3" s="2">
        <f>Table1[[#This Row],[Uncorrected NEFA]]/$I3</f>
        <v>13.274872351012011</v>
      </c>
      <c r="Z3" s="2" t="e">
        <f>((Table1[[#This Row],[FA]]-Table1[[#This Row],[NEFA]])/Table1[[#This Row],[FA]])*100</f>
        <v>#DIV/0!</v>
      </c>
      <c r="AA3" s="2">
        <f>Table1[[#This Row],[Uncorrected Lac]]/$I3</f>
        <v>1.004063072367454</v>
      </c>
      <c r="AB3" s="2">
        <f>Table1[[#This Row],[Uncorrected Urea]]/$I3</f>
        <v>0.21722518392565107</v>
      </c>
    </row>
    <row r="4" spans="1:32" x14ac:dyDescent="0.25">
      <c r="A4">
        <v>1</v>
      </c>
      <c r="B4">
        <v>7</v>
      </c>
      <c r="C4" t="s">
        <v>4</v>
      </c>
      <c r="D4">
        <v>0</v>
      </c>
      <c r="E4">
        <v>5.5</v>
      </c>
      <c r="F4">
        <v>0.5</v>
      </c>
      <c r="G4" s="2">
        <v>3</v>
      </c>
      <c r="H4">
        <v>0.3</v>
      </c>
      <c r="I4">
        <v>4.3221741171129997</v>
      </c>
      <c r="J4" s="5">
        <v>149.21566423772205</v>
      </c>
      <c r="K4" s="5">
        <f>Table1[[#This Row],[Uncorrected TAG]]/Table1[[#This Row],[Protein (mg/mL)]]</f>
        <v>34.523288556776329</v>
      </c>
      <c r="L4" s="9">
        <v>1024.3357378769842</v>
      </c>
      <c r="M4" s="9">
        <f>Table1[[#This Row],[Uncorrected PL]]/Table1[[#This Row],[Protein (mg/mL)]]</f>
        <v>236.99548193148459</v>
      </c>
      <c r="N4" s="2">
        <v>0</v>
      </c>
      <c r="O4">
        <v>17</v>
      </c>
      <c r="P4">
        <v>7</v>
      </c>
      <c r="Q4" s="2">
        <v>0</v>
      </c>
      <c r="R4">
        <v>54</v>
      </c>
      <c r="S4">
        <v>3.33</v>
      </c>
      <c r="T4">
        <v>0.8</v>
      </c>
      <c r="U4" s="2">
        <f>Table1[[#This Row],[Uncorrected Glu]]/$I4</f>
        <v>0</v>
      </c>
      <c r="V4" s="2">
        <f>Table1[[#This Row],[Uncorrected OHB]]/$I4</f>
        <v>3.933205729193336</v>
      </c>
      <c r="W4" s="2">
        <f>Table1[[#This Row],[Uncorrected FrTAG]]/$I4</f>
        <v>1.6195553002560796</v>
      </c>
      <c r="X4" s="2">
        <f>Table1[[#This Row],[Uncorrected FrApoB]]/$I4</f>
        <v>0</v>
      </c>
      <c r="Y4" s="2">
        <f>Table1[[#This Row],[Uncorrected NEFA]]/$I4</f>
        <v>12.493712316261185</v>
      </c>
      <c r="Z4" s="2" t="e">
        <f>((Table1[[#This Row],[FA]]-Table1[[#This Row],[NEFA]])/Table1[[#This Row],[FA]])*100</f>
        <v>#DIV/0!</v>
      </c>
      <c r="AA4" s="2">
        <f>Table1[[#This Row],[Uncorrected Lac]]/$I4</f>
        <v>0.77044559283610647</v>
      </c>
      <c r="AB4" s="2">
        <f>Table1[[#This Row],[Uncorrected Urea]]/$I4</f>
        <v>0.18509203431498053</v>
      </c>
    </row>
    <row r="5" spans="1:32" x14ac:dyDescent="0.25">
      <c r="A5">
        <v>2</v>
      </c>
      <c r="B5">
        <v>7</v>
      </c>
      <c r="C5" t="s">
        <v>4</v>
      </c>
      <c r="D5">
        <v>0</v>
      </c>
      <c r="E5">
        <v>5.5</v>
      </c>
      <c r="F5">
        <v>0.5</v>
      </c>
      <c r="G5" s="2">
        <v>10</v>
      </c>
      <c r="H5">
        <v>0.4</v>
      </c>
      <c r="I5">
        <v>7.9665039685999997</v>
      </c>
      <c r="J5" s="4">
        <v>70.366205519512405</v>
      </c>
      <c r="K5" s="4">
        <f>Table1[[#This Row],[Uncorrected TAG]]/Table1[[#This Row],[Protein (mg/mL)]]</f>
        <v>8.8327584843817348</v>
      </c>
      <c r="L5" s="9">
        <v>1240.2399511666877</v>
      </c>
      <c r="M5" s="9">
        <f>Table1[[#This Row],[Uncorrected PL]]/Table1[[#This Row],[Protein (mg/mL)]]</f>
        <v>155.68183434729931</v>
      </c>
      <c r="N5" s="2">
        <v>0</v>
      </c>
      <c r="O5">
        <v>10</v>
      </c>
      <c r="P5">
        <v>7</v>
      </c>
      <c r="Q5" s="2">
        <v>0</v>
      </c>
      <c r="R5">
        <v>55</v>
      </c>
      <c r="S5">
        <v>3.23</v>
      </c>
      <c r="T5">
        <v>0.8</v>
      </c>
      <c r="U5" s="2">
        <f>Table1[[#This Row],[Uncorrected Glu]]/$I5</f>
        <v>0</v>
      </c>
      <c r="V5" s="2">
        <f>Table1[[#This Row],[Uncorrected OHB]]/$I5</f>
        <v>1.2552557607973374</v>
      </c>
      <c r="W5" s="2">
        <f>Table1[[#This Row],[Uncorrected FrTAG]]/$I5</f>
        <v>0.87867903255813617</v>
      </c>
      <c r="X5" s="2">
        <f>Table1[[#This Row],[Uncorrected FrApoB]]/$I5</f>
        <v>0</v>
      </c>
      <c r="Y5" s="2">
        <f>Table1[[#This Row],[Uncorrected NEFA]]/$I5</f>
        <v>6.9039066843853556</v>
      </c>
      <c r="Z5" s="2" t="e">
        <f>((Table1[[#This Row],[FA]]-Table1[[#This Row],[NEFA]])/Table1[[#This Row],[FA]])*100</f>
        <v>#DIV/0!</v>
      </c>
      <c r="AA5" s="2">
        <f>Table1[[#This Row],[Uncorrected Lac]]/$I5</f>
        <v>0.40544761073753999</v>
      </c>
      <c r="AB5" s="2">
        <f>Table1[[#This Row],[Uncorrected Urea]]/$I5</f>
        <v>0.10042046086378699</v>
      </c>
    </row>
    <row r="6" spans="1:32" x14ac:dyDescent="0.25">
      <c r="A6">
        <v>2</v>
      </c>
      <c r="B6">
        <v>7</v>
      </c>
      <c r="C6" t="s">
        <v>4</v>
      </c>
      <c r="D6">
        <v>0</v>
      </c>
      <c r="E6">
        <v>5.5</v>
      </c>
      <c r="F6">
        <v>0.5</v>
      </c>
      <c r="G6" s="2">
        <v>11</v>
      </c>
      <c r="H6">
        <v>0.5</v>
      </c>
      <c r="I6">
        <v>5.9828571207599994</v>
      </c>
      <c r="J6" s="4">
        <v>99.082999975820556</v>
      </c>
      <c r="K6" s="4">
        <f>Table1[[#This Row],[Uncorrected TAG]]/Table1[[#This Row],[Protein (mg/mL)]]</f>
        <v>16.56115096448001</v>
      </c>
      <c r="L6" s="9">
        <v>1334.9673882789796</v>
      </c>
      <c r="M6" s="9">
        <f>Table1[[#This Row],[Uncorrected PL]]/Table1[[#This Row],[Protein (mg/mL)]]</f>
        <v>223.13208578001263</v>
      </c>
      <c r="N6" s="2">
        <v>0</v>
      </c>
      <c r="O6">
        <v>3</v>
      </c>
      <c r="P6">
        <v>9</v>
      </c>
      <c r="Q6" s="2">
        <v>0</v>
      </c>
      <c r="R6">
        <v>57</v>
      </c>
      <c r="S6">
        <v>4</v>
      </c>
      <c r="T6">
        <v>0.9</v>
      </c>
      <c r="U6" s="2">
        <f>Table1[[#This Row],[Uncorrected Glu]]/$I6</f>
        <v>0</v>
      </c>
      <c r="V6" s="2">
        <f>Table1[[#This Row],[Uncorrected OHB]]/$I6</f>
        <v>0.50143266660844332</v>
      </c>
      <c r="W6" s="2">
        <f>Table1[[#This Row],[Uncorrected FrTAG]]/$I6</f>
        <v>1.5042979998253301</v>
      </c>
      <c r="X6" s="2">
        <f>Table1[[#This Row],[Uncorrected FrApoB]]/$I6</f>
        <v>0</v>
      </c>
      <c r="Y6" s="2">
        <f>Table1[[#This Row],[Uncorrected NEFA]]/$I6</f>
        <v>9.5272206655604226</v>
      </c>
      <c r="Z6" s="2" t="e">
        <f>((Table1[[#This Row],[FA]]-Table1[[#This Row],[NEFA]])/Table1[[#This Row],[FA]])*100</f>
        <v>#DIV/0!</v>
      </c>
      <c r="AA6" s="2">
        <f>Table1[[#This Row],[Uncorrected Lac]]/$I6</f>
        <v>0.66857688881125776</v>
      </c>
      <c r="AB6" s="2">
        <f>Table1[[#This Row],[Uncorrected Urea]]/$I6</f>
        <v>0.150429799982533</v>
      </c>
    </row>
    <row r="7" spans="1:32" x14ac:dyDescent="0.25">
      <c r="A7">
        <v>2</v>
      </c>
      <c r="B7">
        <v>7</v>
      </c>
      <c r="C7" t="s">
        <v>4</v>
      </c>
      <c r="D7">
        <v>0</v>
      </c>
      <c r="E7">
        <v>5.5</v>
      </c>
      <c r="F7">
        <v>0.5</v>
      </c>
      <c r="G7" s="2">
        <v>12</v>
      </c>
      <c r="H7">
        <v>0.6</v>
      </c>
      <c r="I7">
        <v>5.7043311217779991</v>
      </c>
      <c r="J7" s="4">
        <v>110.62981657454168</v>
      </c>
      <c r="K7" s="4">
        <f>Table1[[#This Row],[Uncorrected TAG]]/Table1[[#This Row],[Protein (mg/mL)]]</f>
        <v>19.394003295527341</v>
      </c>
      <c r="L7" s="9">
        <v>1418.4385099299052</v>
      </c>
      <c r="M7" s="9">
        <f>Table1[[#This Row],[Uncorrected PL]]/Table1[[#This Row],[Protein (mg/mL)]]</f>
        <v>248.65991816544269</v>
      </c>
      <c r="N7" s="2">
        <v>0</v>
      </c>
      <c r="O7">
        <v>7</v>
      </c>
      <c r="P7">
        <v>3</v>
      </c>
      <c r="Q7" s="2">
        <v>0</v>
      </c>
      <c r="R7">
        <v>51</v>
      </c>
      <c r="S7">
        <v>2.29</v>
      </c>
      <c r="T7">
        <v>1</v>
      </c>
      <c r="U7" s="2">
        <f>Table1[[#This Row],[Uncorrected Glu]]/$I7</f>
        <v>0</v>
      </c>
      <c r="V7" s="2">
        <f>Table1[[#This Row],[Uncorrected OHB]]/$I7</f>
        <v>1.2271377398263918</v>
      </c>
      <c r="W7" s="2">
        <f>Table1[[#This Row],[Uncorrected FrTAG]]/$I7</f>
        <v>0.52591617421131076</v>
      </c>
      <c r="X7" s="2">
        <f>Table1[[#This Row],[Uncorrected FrApoB]]/$I7</f>
        <v>0</v>
      </c>
      <c r="Y7" s="2">
        <f>Table1[[#This Row],[Uncorrected NEFA]]/$I7</f>
        <v>8.9405749615922829</v>
      </c>
      <c r="Z7" s="2" t="e">
        <f>((Table1[[#This Row],[FA]]-Table1[[#This Row],[NEFA]])/Table1[[#This Row],[FA]])*100</f>
        <v>#DIV/0!</v>
      </c>
      <c r="AA7" s="2">
        <f>Table1[[#This Row],[Uncorrected Lac]]/$I7</f>
        <v>0.40144934631463391</v>
      </c>
      <c r="AB7" s="2">
        <f>Table1[[#This Row],[Uncorrected Urea]]/$I7</f>
        <v>0.17530539140377027</v>
      </c>
    </row>
    <row r="8" spans="1:32" x14ac:dyDescent="0.25">
      <c r="A8">
        <v>3</v>
      </c>
      <c r="B8">
        <v>7</v>
      </c>
      <c r="C8" t="s">
        <v>4</v>
      </c>
      <c r="D8">
        <v>0</v>
      </c>
      <c r="E8">
        <v>5.5</v>
      </c>
      <c r="F8">
        <v>0.5</v>
      </c>
      <c r="G8" s="2">
        <v>13</v>
      </c>
      <c r="H8">
        <v>0.7</v>
      </c>
      <c r="I8">
        <v>4.6950069592679995</v>
      </c>
      <c r="J8" s="4">
        <v>24.399747181201775</v>
      </c>
      <c r="K8" s="4">
        <f>Table1[[#This Row],[Uncorrected TAG]]/Table1[[#This Row],[Protein (mg/mL)]]</f>
        <v>5.1969565525427779</v>
      </c>
      <c r="L8" s="9">
        <v>1280.8450051700036</v>
      </c>
      <c r="M8" s="9">
        <f>Table1[[#This Row],[Uncorrected PL]]/Table1[[#This Row],[Protein (mg/mL)]]</f>
        <v>272.81003335716048</v>
      </c>
      <c r="N8" s="2">
        <v>0</v>
      </c>
      <c r="O8">
        <v>8</v>
      </c>
      <c r="P8">
        <v>6</v>
      </c>
      <c r="Q8" s="2">
        <v>0</v>
      </c>
      <c r="R8">
        <v>55</v>
      </c>
      <c r="S8">
        <v>3.35</v>
      </c>
      <c r="T8">
        <v>1</v>
      </c>
      <c r="U8" s="2">
        <f>Table1[[#This Row],[Uncorrected Glu]]/$I8</f>
        <v>0</v>
      </c>
      <c r="V8" s="2">
        <f>Table1[[#This Row],[Uncorrected OHB]]/$I8</f>
        <v>1.7039378363876341</v>
      </c>
      <c r="W8" s="2">
        <f>Table1[[#This Row],[Uncorrected FrTAG]]/$I8</f>
        <v>1.2779533772907257</v>
      </c>
      <c r="X8" s="2">
        <f>Table1[[#This Row],[Uncorrected FrApoB]]/$I8</f>
        <v>0</v>
      </c>
      <c r="Y8" s="2">
        <f>Table1[[#This Row],[Uncorrected NEFA]]/$I8</f>
        <v>11.714572625164985</v>
      </c>
      <c r="Z8" s="2" t="e">
        <f>((Table1[[#This Row],[FA]]-Table1[[#This Row],[NEFA]])/Table1[[#This Row],[FA]])*100</f>
        <v>#DIV/0!</v>
      </c>
      <c r="AA8" s="2">
        <f>Table1[[#This Row],[Uncorrected Lac]]/$I8</f>
        <v>0.71352396898732184</v>
      </c>
      <c r="AB8" s="2">
        <f>Table1[[#This Row],[Uncorrected Urea]]/$I8</f>
        <v>0.21299222954845426</v>
      </c>
    </row>
    <row r="9" spans="1:32" x14ac:dyDescent="0.25">
      <c r="A9">
        <v>3</v>
      </c>
      <c r="B9">
        <v>7</v>
      </c>
      <c r="C9" t="s">
        <v>4</v>
      </c>
      <c r="D9">
        <v>0</v>
      </c>
      <c r="E9">
        <v>5.5</v>
      </c>
      <c r="F9">
        <v>0.5</v>
      </c>
      <c r="G9" s="2">
        <v>14</v>
      </c>
      <c r="H9">
        <v>0.8</v>
      </c>
      <c r="I9">
        <v>5.7858265260199992</v>
      </c>
      <c r="J9" s="4">
        <v>51.796812188580134</v>
      </c>
      <c r="K9" s="4">
        <f>Table1[[#This Row],[Uncorrected TAG]]/Table1[[#This Row],[Protein (mg/mL)]]</f>
        <v>8.9523617681310856</v>
      </c>
      <c r="L9" s="9">
        <v>1242.3431598788222</v>
      </c>
      <c r="M9" s="9">
        <f>Table1[[#This Row],[Uncorrected PL]]/Table1[[#This Row],[Protein (mg/mL)]]</f>
        <v>214.72181274218312</v>
      </c>
      <c r="N9" s="2">
        <v>0</v>
      </c>
      <c r="O9">
        <v>9</v>
      </c>
      <c r="P9">
        <v>5</v>
      </c>
      <c r="Q9" s="2">
        <v>0</v>
      </c>
      <c r="R9">
        <v>53</v>
      </c>
      <c r="S9">
        <v>2.91</v>
      </c>
      <c r="T9">
        <v>1</v>
      </c>
      <c r="U9" s="2">
        <f>Table1[[#This Row],[Uncorrected Glu]]/$I9</f>
        <v>0</v>
      </c>
      <c r="V9" s="2">
        <f>Table1[[#This Row],[Uncorrected OHB]]/$I9</f>
        <v>1.5555253790491697</v>
      </c>
      <c r="W9" s="2">
        <f>Table1[[#This Row],[Uncorrected FrTAG]]/$I9</f>
        <v>0.86418076613842765</v>
      </c>
      <c r="X9" s="2">
        <f>Table1[[#This Row],[Uncorrected FrApoB]]/$I9</f>
        <v>0</v>
      </c>
      <c r="Y9" s="2">
        <f>Table1[[#This Row],[Uncorrected NEFA]]/$I9</f>
        <v>9.1603161210673321</v>
      </c>
      <c r="Z9" s="2" t="e">
        <f>((Table1[[#This Row],[FA]]-Table1[[#This Row],[NEFA]])/Table1[[#This Row],[FA]])*100</f>
        <v>#DIV/0!</v>
      </c>
      <c r="AA9" s="2">
        <f>Table1[[#This Row],[Uncorrected Lac]]/$I9</f>
        <v>0.50295320589256487</v>
      </c>
      <c r="AB9" s="2">
        <f>Table1[[#This Row],[Uncorrected Urea]]/$I9</f>
        <v>0.17283615322768553</v>
      </c>
    </row>
    <row r="10" spans="1:32" x14ac:dyDescent="0.25">
      <c r="A10">
        <v>3</v>
      </c>
      <c r="B10">
        <v>7</v>
      </c>
      <c r="C10" t="s">
        <v>4</v>
      </c>
      <c r="D10">
        <v>0</v>
      </c>
      <c r="E10">
        <v>5.5</v>
      </c>
      <c r="F10">
        <v>0.5</v>
      </c>
      <c r="G10" s="2">
        <v>15</v>
      </c>
      <c r="H10">
        <v>0.9</v>
      </c>
      <c r="I10">
        <v>5.4232609003379988</v>
      </c>
      <c r="J10" s="4">
        <v>43.845152306861024</v>
      </c>
      <c r="K10" s="4">
        <f>Table1[[#This Row],[Uncorrected TAG]]/Table1[[#This Row],[Protein (mg/mL)]]</f>
        <v>8.0846474312398335</v>
      </c>
      <c r="L10" s="9">
        <v>1109.1776607888758</v>
      </c>
      <c r="M10" s="9">
        <f>Table1[[#This Row],[Uncorrected PL]]/Table1[[#This Row],[Protein (mg/mL)]]</f>
        <v>204.52227565148996</v>
      </c>
      <c r="N10" s="2">
        <v>0</v>
      </c>
      <c r="O10">
        <v>77</v>
      </c>
      <c r="P10">
        <v>12</v>
      </c>
      <c r="Q10" s="2">
        <v>0</v>
      </c>
      <c r="R10">
        <v>75</v>
      </c>
      <c r="S10">
        <v>3.86</v>
      </c>
      <c r="T10">
        <v>0.6</v>
      </c>
      <c r="U10" s="2">
        <f>Table1[[#This Row],[Uncorrected Glu]]/$I10</f>
        <v>0</v>
      </c>
      <c r="V10" s="2">
        <f>Table1[[#This Row],[Uncorrected OHB]]/$I10</f>
        <v>14.198099891377355</v>
      </c>
      <c r="W10" s="2">
        <f>Table1[[#This Row],[Uncorrected FrTAG]]/$I10</f>
        <v>2.2126908921627049</v>
      </c>
      <c r="X10" s="2">
        <f>Table1[[#This Row],[Uncorrected FrApoB]]/$I10</f>
        <v>0</v>
      </c>
      <c r="Y10" s="2">
        <f>Table1[[#This Row],[Uncorrected NEFA]]/$I10</f>
        <v>13.829318076016905</v>
      </c>
      <c r="Z10" s="2" t="e">
        <f>((Table1[[#This Row],[FA]]-Table1[[#This Row],[NEFA]])/Table1[[#This Row],[FA]])*100</f>
        <v>#DIV/0!</v>
      </c>
      <c r="AA10" s="2">
        <f>Table1[[#This Row],[Uncorrected Lac]]/$I10</f>
        <v>0.71174890364567001</v>
      </c>
      <c r="AB10" s="2">
        <f>Table1[[#This Row],[Uncorrected Urea]]/$I10</f>
        <v>0.11063454460813524</v>
      </c>
    </row>
    <row r="11" spans="1:32" x14ac:dyDescent="0.25">
      <c r="A11">
        <v>4</v>
      </c>
      <c r="B11">
        <v>7</v>
      </c>
      <c r="C11" t="s">
        <v>4</v>
      </c>
      <c r="D11">
        <v>0</v>
      </c>
      <c r="E11">
        <v>5.5</v>
      </c>
      <c r="F11">
        <v>0.5</v>
      </c>
      <c r="H11">
        <v>1</v>
      </c>
      <c r="J11" s="2"/>
      <c r="K11" s="6" t="e">
        <f>Table1[[#This Row],[Uncorrected TAG]]/Table1[[#This Row],[Protein (mg/mL)]]</f>
        <v>#DIV/0!</v>
      </c>
      <c r="L11" s="2"/>
      <c r="N11" s="2">
        <v>0</v>
      </c>
      <c r="O11">
        <v>0</v>
      </c>
      <c r="P11">
        <v>5</v>
      </c>
      <c r="Q11" s="2">
        <v>0</v>
      </c>
      <c r="R11">
        <v>54</v>
      </c>
      <c r="S11">
        <v>3.62</v>
      </c>
      <c r="T11">
        <v>0.7</v>
      </c>
      <c r="U11" s="2" t="e">
        <f>Table1[[#This Row],[Uncorrected Glu]]/$I11</f>
        <v>#DIV/0!</v>
      </c>
      <c r="V11" s="2" t="e">
        <f>Table1[[#This Row],[Uncorrected OHB]]/$I11</f>
        <v>#DIV/0!</v>
      </c>
      <c r="W11" s="2" t="e">
        <f>Table1[[#This Row],[Uncorrected FrTAG]]/$I11</f>
        <v>#DIV/0!</v>
      </c>
      <c r="X11" s="2" t="e">
        <f>Table1[[#This Row],[Uncorrected FrApoB]]/$I11</f>
        <v>#DIV/0!</v>
      </c>
      <c r="Y11" s="2" t="e">
        <f>Table1[[#This Row],[Uncorrected NEFA]]/$I11</f>
        <v>#DIV/0!</v>
      </c>
      <c r="Z11" s="2" t="e">
        <f>((Table1[[#This Row],[FA]]-Table1[[#This Row],[NEFA]])/Table1[[#This Row],[FA]])*100</f>
        <v>#DIV/0!</v>
      </c>
      <c r="AA11" s="2" t="e">
        <f>Table1[[#This Row],[Uncorrected Lac]]/$I11</f>
        <v>#DIV/0!</v>
      </c>
      <c r="AB11" s="2" t="e">
        <f>Table1[[#This Row],[Uncorrected Urea]]/$I11</f>
        <v>#DIV/0!</v>
      </c>
      <c r="AF11" t="s">
        <v>17</v>
      </c>
    </row>
    <row r="12" spans="1:32" x14ac:dyDescent="0.25">
      <c r="A12">
        <v>4</v>
      </c>
      <c r="B12">
        <v>7</v>
      </c>
      <c r="C12" t="s">
        <v>4</v>
      </c>
      <c r="D12">
        <v>0</v>
      </c>
      <c r="E12">
        <v>5.5</v>
      </c>
      <c r="F12">
        <v>0.5</v>
      </c>
      <c r="H12">
        <v>2</v>
      </c>
      <c r="J12" s="2"/>
      <c r="K12" s="6" t="e">
        <f>Table1[[#This Row],[Uncorrected TAG]]/Table1[[#This Row],[Protein (mg/mL)]]</f>
        <v>#DIV/0!</v>
      </c>
      <c r="L12" s="2"/>
      <c r="N12" s="2">
        <v>0</v>
      </c>
      <c r="O12">
        <v>3</v>
      </c>
      <c r="P12">
        <v>7</v>
      </c>
      <c r="Q12" s="2">
        <v>0</v>
      </c>
      <c r="R12">
        <v>53</v>
      </c>
      <c r="S12">
        <v>5.61</v>
      </c>
      <c r="T12">
        <v>1</v>
      </c>
      <c r="U12" s="2" t="e">
        <f>Table1[[#This Row],[Uncorrected Glu]]/$I12</f>
        <v>#DIV/0!</v>
      </c>
      <c r="V12" s="2" t="e">
        <f>Table1[[#This Row],[Uncorrected OHB]]/$I12</f>
        <v>#DIV/0!</v>
      </c>
      <c r="W12" s="2" t="e">
        <f>Table1[[#This Row],[Uncorrected FrTAG]]/$I12</f>
        <v>#DIV/0!</v>
      </c>
      <c r="X12" s="2" t="e">
        <f>Table1[[#This Row],[Uncorrected FrApoB]]/$I12</f>
        <v>#DIV/0!</v>
      </c>
      <c r="Y12" s="2" t="e">
        <f>Table1[[#This Row],[Uncorrected NEFA]]/$I12</f>
        <v>#DIV/0!</v>
      </c>
      <c r="Z12" s="2" t="e">
        <f>((Table1[[#This Row],[FA]]-Table1[[#This Row],[NEFA]])/Table1[[#This Row],[FA]])*100</f>
        <v>#DIV/0!</v>
      </c>
      <c r="AA12" s="2" t="e">
        <f>Table1[[#This Row],[Uncorrected Lac]]/$I12</f>
        <v>#DIV/0!</v>
      </c>
      <c r="AB12" s="2" t="e">
        <f>Table1[[#This Row],[Uncorrected Urea]]/$I12</f>
        <v>#DIV/0!</v>
      </c>
    </row>
    <row r="13" spans="1:32" x14ac:dyDescent="0.25">
      <c r="A13">
        <v>4</v>
      </c>
      <c r="B13">
        <v>7</v>
      </c>
      <c r="C13" t="s">
        <v>4</v>
      </c>
      <c r="D13">
        <v>0</v>
      </c>
      <c r="E13">
        <v>5.5</v>
      </c>
      <c r="F13">
        <v>0.5</v>
      </c>
      <c r="H13">
        <v>3</v>
      </c>
      <c r="J13" s="2"/>
      <c r="K13" s="6" t="e">
        <f>Table1[[#This Row],[Uncorrected TAG]]/Table1[[#This Row],[Protein (mg/mL)]]</f>
        <v>#DIV/0!</v>
      </c>
      <c r="L13" s="2"/>
      <c r="N13" s="3">
        <v>0.05</v>
      </c>
      <c r="O13">
        <v>2</v>
      </c>
      <c r="P13">
        <v>4</v>
      </c>
      <c r="Q13" s="2">
        <v>0</v>
      </c>
      <c r="R13">
        <v>53</v>
      </c>
      <c r="S13">
        <v>1.65</v>
      </c>
      <c r="T13">
        <v>0.4</v>
      </c>
      <c r="U13" s="2" t="e">
        <f>Table1[[#This Row],[Uncorrected Glu]]/$I13</f>
        <v>#DIV/0!</v>
      </c>
      <c r="V13" s="2" t="e">
        <f>Table1[[#This Row],[Uncorrected OHB]]/$I13</f>
        <v>#DIV/0!</v>
      </c>
      <c r="W13" s="2" t="e">
        <f>Table1[[#This Row],[Uncorrected FrTAG]]/$I13</f>
        <v>#DIV/0!</v>
      </c>
      <c r="X13" s="2" t="e">
        <f>Table1[[#This Row],[Uncorrected FrApoB]]/$I13</f>
        <v>#DIV/0!</v>
      </c>
      <c r="Y13" s="2" t="e">
        <f>Table1[[#This Row],[Uncorrected NEFA]]/$I13</f>
        <v>#DIV/0!</v>
      </c>
      <c r="Z13" s="2" t="e">
        <f>((Table1[[#This Row],[FA]]-Table1[[#This Row],[NEFA]])/Table1[[#This Row],[FA]])*100</f>
        <v>#DIV/0!</v>
      </c>
      <c r="AA13" s="2" t="e">
        <f>Table1[[#This Row],[Uncorrected Lac]]/$I13</f>
        <v>#DIV/0!</v>
      </c>
      <c r="AB13" s="2" t="e">
        <f>Table1[[#This Row],[Uncorrected Urea]]/$I13</f>
        <v>#DIV/0!</v>
      </c>
    </row>
    <row r="14" spans="1:32" x14ac:dyDescent="0.25">
      <c r="A14">
        <v>5</v>
      </c>
      <c r="B14">
        <v>7</v>
      </c>
      <c r="C14" t="s">
        <v>4</v>
      </c>
      <c r="D14">
        <v>0</v>
      </c>
      <c r="E14">
        <v>5.5</v>
      </c>
      <c r="F14">
        <v>0.5</v>
      </c>
      <c r="H14">
        <v>10</v>
      </c>
      <c r="J14" s="2"/>
      <c r="K14" s="6" t="e">
        <f>Table1[[#This Row],[Uncorrected TAG]]/Table1[[#This Row],[Protein (mg/mL)]]</f>
        <v>#DIV/0!</v>
      </c>
      <c r="L14" s="2"/>
      <c r="N14" s="3">
        <v>0</v>
      </c>
      <c r="O14">
        <v>8</v>
      </c>
      <c r="P14">
        <v>3</v>
      </c>
      <c r="Q14" s="2">
        <v>0</v>
      </c>
      <c r="R14">
        <v>54</v>
      </c>
      <c r="S14">
        <v>2.85</v>
      </c>
      <c r="T14">
        <v>0.5</v>
      </c>
      <c r="U14" s="2" t="e">
        <f>Table1[[#This Row],[Uncorrected Glu]]/$I14</f>
        <v>#DIV/0!</v>
      </c>
      <c r="V14" s="2" t="e">
        <f>Table1[[#This Row],[Uncorrected OHB]]/$I14</f>
        <v>#DIV/0!</v>
      </c>
      <c r="W14" s="2" t="e">
        <f>Table1[[#This Row],[Uncorrected FrTAG]]/$I14</f>
        <v>#DIV/0!</v>
      </c>
      <c r="X14" s="2" t="e">
        <f>Table1[[#This Row],[Uncorrected FrApoB]]/$I14</f>
        <v>#DIV/0!</v>
      </c>
      <c r="Y14" s="2" t="e">
        <f>Table1[[#This Row],[Uncorrected NEFA]]/$I14</f>
        <v>#DIV/0!</v>
      </c>
      <c r="Z14" s="2" t="e">
        <f>((Table1[[#This Row],[FA]]-Table1[[#This Row],[NEFA]])/Table1[[#This Row],[FA]])*100</f>
        <v>#DIV/0!</v>
      </c>
      <c r="AA14" s="2" t="e">
        <f>Table1[[#This Row],[Uncorrected Lac]]/$I14</f>
        <v>#DIV/0!</v>
      </c>
      <c r="AB14" s="2" t="e">
        <f>Table1[[#This Row],[Uncorrected Urea]]/$I14</f>
        <v>#DIV/0!</v>
      </c>
    </row>
    <row r="15" spans="1:32" x14ac:dyDescent="0.25">
      <c r="A15">
        <v>5</v>
      </c>
      <c r="B15">
        <v>7</v>
      </c>
      <c r="C15" t="s">
        <v>4</v>
      </c>
      <c r="D15">
        <v>0</v>
      </c>
      <c r="E15">
        <v>5.5</v>
      </c>
      <c r="F15">
        <v>0.5</v>
      </c>
      <c r="H15">
        <v>11</v>
      </c>
      <c r="J15" s="2"/>
      <c r="K15" s="6" t="e">
        <f>Table1[[#This Row],[Uncorrected TAG]]/Table1[[#This Row],[Protein (mg/mL)]]</f>
        <v>#DIV/0!</v>
      </c>
      <c r="L15" s="2"/>
      <c r="N15" s="3">
        <v>0</v>
      </c>
      <c r="O15">
        <v>2</v>
      </c>
      <c r="P15">
        <v>12</v>
      </c>
      <c r="Q15" s="2">
        <v>0</v>
      </c>
      <c r="R15">
        <v>70</v>
      </c>
      <c r="S15">
        <v>5.58</v>
      </c>
      <c r="T15">
        <v>0.6</v>
      </c>
      <c r="U15" s="2" t="e">
        <f>Table1[[#This Row],[Uncorrected Glu]]/$I15</f>
        <v>#DIV/0!</v>
      </c>
      <c r="V15" s="2" t="e">
        <f>Table1[[#This Row],[Uncorrected OHB]]/$I15</f>
        <v>#DIV/0!</v>
      </c>
      <c r="W15" s="2" t="e">
        <f>Table1[[#This Row],[Uncorrected FrTAG]]/$I15</f>
        <v>#DIV/0!</v>
      </c>
      <c r="X15" s="2" t="e">
        <f>Table1[[#This Row],[Uncorrected FrApoB]]/$I15</f>
        <v>#DIV/0!</v>
      </c>
      <c r="Y15" s="2" t="e">
        <f>Table1[[#This Row],[Uncorrected NEFA]]/$I15</f>
        <v>#DIV/0!</v>
      </c>
      <c r="Z15" s="2" t="e">
        <f>((Table1[[#This Row],[FA]]-Table1[[#This Row],[NEFA]])/Table1[[#This Row],[FA]])*100</f>
        <v>#DIV/0!</v>
      </c>
      <c r="AA15" s="2" t="e">
        <f>Table1[[#This Row],[Uncorrected Lac]]/$I15</f>
        <v>#DIV/0!</v>
      </c>
      <c r="AB15" s="2" t="e">
        <f>Table1[[#This Row],[Uncorrected Urea]]/$I15</f>
        <v>#DIV/0!</v>
      </c>
    </row>
    <row r="16" spans="1:32" x14ac:dyDescent="0.25">
      <c r="A16">
        <v>5</v>
      </c>
      <c r="B16">
        <v>7</v>
      </c>
      <c r="C16" t="s">
        <v>4</v>
      </c>
      <c r="D16">
        <v>0</v>
      </c>
      <c r="E16">
        <v>5.5</v>
      </c>
      <c r="F16">
        <v>0.5</v>
      </c>
      <c r="H16">
        <v>12</v>
      </c>
      <c r="J16" s="2"/>
      <c r="K16" s="6" t="e">
        <f>Table1[[#This Row],[Uncorrected TAG]]/Table1[[#This Row],[Protein (mg/mL)]]</f>
        <v>#DIV/0!</v>
      </c>
      <c r="L16" s="2"/>
      <c r="N16" s="3">
        <v>0</v>
      </c>
      <c r="O16">
        <v>1</v>
      </c>
      <c r="P16">
        <v>12</v>
      </c>
      <c r="Q16" s="2">
        <v>0</v>
      </c>
      <c r="R16">
        <v>65</v>
      </c>
      <c r="S16">
        <v>4.3</v>
      </c>
      <c r="T16">
        <v>0.5</v>
      </c>
      <c r="U16" s="2" t="e">
        <f>Table1[[#This Row],[Uncorrected Glu]]/$I16</f>
        <v>#DIV/0!</v>
      </c>
      <c r="V16" s="2" t="e">
        <f>Table1[[#This Row],[Uncorrected OHB]]/$I16</f>
        <v>#DIV/0!</v>
      </c>
      <c r="W16" s="2" t="e">
        <f>Table1[[#This Row],[Uncorrected FrTAG]]/$I16</f>
        <v>#DIV/0!</v>
      </c>
      <c r="X16" s="2" t="e">
        <f>Table1[[#This Row],[Uncorrected FrApoB]]/$I16</f>
        <v>#DIV/0!</v>
      </c>
      <c r="Y16" s="2" t="e">
        <f>Table1[[#This Row],[Uncorrected NEFA]]/$I16</f>
        <v>#DIV/0!</v>
      </c>
      <c r="Z16" s="2" t="e">
        <f>((Table1[[#This Row],[FA]]-Table1[[#This Row],[NEFA]])/Table1[[#This Row],[FA]])*100</f>
        <v>#DIV/0!</v>
      </c>
      <c r="AA16" s="2" t="e">
        <f>Table1[[#This Row],[Uncorrected Lac]]/$I16</f>
        <v>#DIV/0!</v>
      </c>
      <c r="AB16" s="2" t="e">
        <f>Table1[[#This Row],[Uncorrected Urea]]/$I16</f>
        <v>#DIV/0!</v>
      </c>
    </row>
    <row r="17" spans="1:28" x14ac:dyDescent="0.25">
      <c r="A17">
        <v>1</v>
      </c>
      <c r="B17">
        <v>7</v>
      </c>
      <c r="C17" t="s">
        <v>4</v>
      </c>
      <c r="D17">
        <v>200</v>
      </c>
      <c r="E17">
        <v>5.5</v>
      </c>
      <c r="F17">
        <v>0.5</v>
      </c>
      <c r="G17" s="2">
        <v>4</v>
      </c>
      <c r="H17">
        <v>2.1</v>
      </c>
      <c r="I17">
        <v>6.014156655241</v>
      </c>
      <c r="J17" s="5">
        <v>782.95140604490689</v>
      </c>
      <c r="K17" s="5">
        <f>Table1[[#This Row],[Uncorrected TAG]]/Table1[[#This Row],[Protein (mg/mL)]]</f>
        <v>130.18473759951175</v>
      </c>
      <c r="L17" s="9">
        <v>1101.5282616383449</v>
      </c>
      <c r="M17" s="9">
        <f>Table1[[#This Row],[Uncorrected PL]]/Table1[[#This Row],[Protein (mg/mL)]]</f>
        <v>183.15589778966347</v>
      </c>
      <c r="N17" s="3">
        <v>0</v>
      </c>
      <c r="O17">
        <v>0</v>
      </c>
      <c r="P17">
        <v>12</v>
      </c>
      <c r="Q17" s="2">
        <v>0</v>
      </c>
      <c r="R17">
        <v>78</v>
      </c>
      <c r="S17">
        <v>3.98</v>
      </c>
      <c r="T17">
        <v>0.6</v>
      </c>
      <c r="U17" s="2">
        <f>Table1[[#This Row],[Uncorrected Glu]]/$I17</f>
        <v>0</v>
      </c>
      <c r="V17" s="2">
        <f>Table1[[#This Row],[Uncorrected OHB]]/$I17</f>
        <v>0</v>
      </c>
      <c r="W17" s="2">
        <f>Table1[[#This Row],[Uncorrected FrTAG]]/$I17</f>
        <v>1.9952922226498164</v>
      </c>
      <c r="X17" s="2">
        <f>Table1[[#This Row],[Uncorrected FrApoB]]/$I17</f>
        <v>0</v>
      </c>
      <c r="Y17" s="2">
        <f>Table1[[#This Row],[Uncorrected NEFA]]/$I17</f>
        <v>12.969399447223806</v>
      </c>
      <c r="Z17" s="2">
        <f>((Table1[[#This Row],[FA]]-Table1[[#This Row],[NEFA]])/Table1[[#This Row],[FA]])*100</f>
        <v>93.515300276388103</v>
      </c>
      <c r="AA17" s="2">
        <f>Table1[[#This Row],[Uncorrected Lac]]/$I17</f>
        <v>0.66177192051218903</v>
      </c>
      <c r="AB17" s="2">
        <f>Table1[[#This Row],[Uncorrected Urea]]/$I17</f>
        <v>9.9764611132490813E-2</v>
      </c>
    </row>
    <row r="18" spans="1:28" x14ac:dyDescent="0.25">
      <c r="A18">
        <v>1</v>
      </c>
      <c r="B18">
        <v>7</v>
      </c>
      <c r="C18" t="s">
        <v>4</v>
      </c>
      <c r="D18">
        <v>200</v>
      </c>
      <c r="E18">
        <v>5.5</v>
      </c>
      <c r="F18">
        <v>0.5</v>
      </c>
      <c r="G18" s="2">
        <v>5</v>
      </c>
      <c r="H18">
        <v>2.2000000000000002</v>
      </c>
      <c r="I18">
        <v>6.146799023482</v>
      </c>
      <c r="J18" s="5">
        <v>867.71865521181633</v>
      </c>
      <c r="K18" s="5">
        <f>Table1[[#This Row],[Uncorrected TAG]]/Table1[[#This Row],[Protein (mg/mL)]]</f>
        <v>141.16593887272998</v>
      </c>
      <c r="L18" s="9">
        <v>1134.4794261352044</v>
      </c>
      <c r="M18" s="9">
        <f>Table1[[#This Row],[Uncorrected PL]]/Table1[[#This Row],[Protein (mg/mL)]]</f>
        <v>184.56426211451952</v>
      </c>
      <c r="N18" s="3">
        <v>0</v>
      </c>
      <c r="O18">
        <v>9</v>
      </c>
      <c r="P18">
        <v>11</v>
      </c>
      <c r="Q18" s="2">
        <v>0</v>
      </c>
      <c r="R18">
        <v>73</v>
      </c>
      <c r="S18">
        <v>3.91</v>
      </c>
      <c r="T18">
        <v>0.7</v>
      </c>
      <c r="U18" s="2">
        <f>Table1[[#This Row],[Uncorrected Glu]]/$I18</f>
        <v>0</v>
      </c>
      <c r="V18" s="2">
        <f>Table1[[#This Row],[Uncorrected OHB]]/$I18</f>
        <v>1.4641767146799827</v>
      </c>
      <c r="W18" s="2">
        <f>Table1[[#This Row],[Uncorrected FrTAG]]/$I18</f>
        <v>1.7895493179422008</v>
      </c>
      <c r="X18" s="2">
        <f>Table1[[#This Row],[Uncorrected FrApoB]]/$I18</f>
        <v>0</v>
      </c>
      <c r="Y18" s="2">
        <f>Table1[[#This Row],[Uncorrected NEFA]]/$I18</f>
        <v>11.87610001907097</v>
      </c>
      <c r="Z18" s="2">
        <f>((Table1[[#This Row],[FA]]-Table1[[#This Row],[NEFA]])/Table1[[#This Row],[FA]])*100</f>
        <v>94.061949990464512</v>
      </c>
      <c r="AA18" s="2">
        <f>Table1[[#This Row],[Uncorrected Lac]]/$I18</f>
        <v>0.63610343937763691</v>
      </c>
      <c r="AB18" s="2">
        <f>Table1[[#This Row],[Uncorrected Urea]]/$I18</f>
        <v>0.11388041114177641</v>
      </c>
    </row>
    <row r="19" spans="1:28" x14ac:dyDescent="0.25">
      <c r="A19">
        <v>1</v>
      </c>
      <c r="B19">
        <v>7</v>
      </c>
      <c r="C19" t="s">
        <v>4</v>
      </c>
      <c r="D19">
        <v>200</v>
      </c>
      <c r="E19">
        <v>5.5</v>
      </c>
      <c r="F19">
        <v>0.5</v>
      </c>
      <c r="G19" s="2">
        <v>6</v>
      </c>
      <c r="H19">
        <v>2.2999999999999998</v>
      </c>
      <c r="I19">
        <v>5.6764313769940005</v>
      </c>
      <c r="J19" s="5">
        <v>842.43299429921058</v>
      </c>
      <c r="K19" s="5">
        <f>Table1[[#This Row],[Uncorrected TAG]]/Table1[[#This Row],[Protein (mg/mL)]]</f>
        <v>148.40891016731143</v>
      </c>
      <c r="L19" s="9">
        <v>1174.5705223134548</v>
      </c>
      <c r="M19" s="9">
        <f>Table1[[#This Row],[Uncorrected PL]]/Table1[[#This Row],[Protein (mg/mL)]]</f>
        <v>206.92058871245581</v>
      </c>
      <c r="N19">
        <v>0</v>
      </c>
      <c r="O19">
        <v>5</v>
      </c>
      <c r="P19">
        <v>13</v>
      </c>
      <c r="Q19" s="2">
        <v>0</v>
      </c>
      <c r="R19">
        <v>63</v>
      </c>
      <c r="S19">
        <v>3.05</v>
      </c>
      <c r="T19">
        <v>0.7</v>
      </c>
      <c r="U19" s="2">
        <f>Table1[[#This Row],[Uncorrected Glu]]/$I19</f>
        <v>0</v>
      </c>
      <c r="V19" s="2">
        <f>Table1[[#This Row],[Uncorrected OHB]]/$I19</f>
        <v>0.88083510007088117</v>
      </c>
      <c r="W19" s="2">
        <f>Table1[[#This Row],[Uncorrected FrTAG]]/$I19</f>
        <v>2.290171260184291</v>
      </c>
      <c r="X19" s="2">
        <f>Table1[[#This Row],[Uncorrected FrApoB]]/$I19</f>
        <v>0</v>
      </c>
      <c r="Y19" s="2">
        <f>Table1[[#This Row],[Uncorrected NEFA]]/$I19</f>
        <v>11.098522260893102</v>
      </c>
      <c r="Z19" s="2">
        <f>((Table1[[#This Row],[FA]]-Table1[[#This Row],[NEFA]])/Table1[[#This Row],[FA]])*100</f>
        <v>94.450738869553447</v>
      </c>
      <c r="AA19" s="2">
        <f>Table1[[#This Row],[Uncorrected Lac]]/$I19</f>
        <v>0.53730941104323748</v>
      </c>
      <c r="AB19" s="2">
        <f>Table1[[#This Row],[Uncorrected Urea]]/$I19</f>
        <v>0.12331691400992335</v>
      </c>
    </row>
    <row r="20" spans="1:28" x14ac:dyDescent="0.25">
      <c r="A20">
        <v>2</v>
      </c>
      <c r="B20">
        <v>7</v>
      </c>
      <c r="C20" t="s">
        <v>4</v>
      </c>
      <c r="D20">
        <v>200</v>
      </c>
      <c r="E20">
        <v>5.5</v>
      </c>
      <c r="F20">
        <v>0.5</v>
      </c>
      <c r="G20" s="2">
        <v>16</v>
      </c>
      <c r="H20">
        <v>2.4</v>
      </c>
      <c r="I20">
        <v>8.6298789780100016</v>
      </c>
      <c r="J20" s="4">
        <v>627.13861551431557</v>
      </c>
      <c r="K20" s="4">
        <f>Table1[[#This Row],[Uncorrected TAG]]/Table1[[#This Row],[Protein (mg/mL)]]</f>
        <v>72.670615325237151</v>
      </c>
      <c r="L20" s="9">
        <v>1142.5514006517337</v>
      </c>
      <c r="M20" s="9">
        <f>Table1[[#This Row],[Uncorrected PL]]/Table1[[#This Row],[Protein (mg/mL)]]</f>
        <v>132.39483468575816</v>
      </c>
      <c r="N20" s="2">
        <v>0</v>
      </c>
      <c r="O20">
        <v>13</v>
      </c>
      <c r="P20">
        <v>10</v>
      </c>
      <c r="Q20" s="2">
        <v>0</v>
      </c>
      <c r="R20">
        <v>62</v>
      </c>
      <c r="S20">
        <v>2.5099999999999998</v>
      </c>
      <c r="T20">
        <v>0.6</v>
      </c>
      <c r="U20" s="2">
        <f>Table1[[#This Row],[Uncorrected Glu]]/$I20</f>
        <v>0</v>
      </c>
      <c r="V20" s="2">
        <f>Table1[[#This Row],[Uncorrected OHB]]/$I20</f>
        <v>1.5063942418109926</v>
      </c>
      <c r="W20" s="2">
        <f>Table1[[#This Row],[Uncorrected FrTAG]]/$I20</f>
        <v>1.1587648013930711</v>
      </c>
      <c r="X20" s="2">
        <f>Table1[[#This Row],[Uncorrected FrApoB]]/$I20</f>
        <v>0</v>
      </c>
      <c r="Y20" s="2">
        <f>Table1[[#This Row],[Uncorrected NEFA]]/$I20</f>
        <v>7.1843417686370419</v>
      </c>
      <c r="Z20" s="2">
        <f>((Table1[[#This Row],[FA]]-Table1[[#This Row],[NEFA]])/Table1[[#This Row],[FA]])*100</f>
        <v>96.40782911568148</v>
      </c>
      <c r="AA20" s="2">
        <f>Table1[[#This Row],[Uncorrected Lac]]/$I20</f>
        <v>0.29084996514966083</v>
      </c>
      <c r="AB20" s="2">
        <f>Table1[[#This Row],[Uncorrected Urea]]/$I20</f>
        <v>6.9525888083584272E-2</v>
      </c>
    </row>
    <row r="21" spans="1:28" x14ac:dyDescent="0.25">
      <c r="A21">
        <v>2</v>
      </c>
      <c r="B21">
        <v>7</v>
      </c>
      <c r="C21" t="s">
        <v>4</v>
      </c>
      <c r="D21">
        <v>200</v>
      </c>
      <c r="E21">
        <v>5.5</v>
      </c>
      <c r="F21">
        <v>0.5</v>
      </c>
      <c r="G21" s="2">
        <v>17</v>
      </c>
      <c r="H21">
        <v>2.5</v>
      </c>
      <c r="I21">
        <v>8.3883617364980019</v>
      </c>
      <c r="J21" s="4">
        <v>847.09208102533717</v>
      </c>
      <c r="K21" s="4">
        <f>Table1[[#This Row],[Uncorrected TAG]]/Table1[[#This Row],[Protein (mg/mL)]]</f>
        <v>100.98420974617908</v>
      </c>
      <c r="L21" s="9">
        <v>1446.3266305996347</v>
      </c>
      <c r="M21" s="9">
        <f>Table1[[#This Row],[Uncorrected PL]]/Table1[[#This Row],[Protein (mg/mL)]]</f>
        <v>172.4206318269068</v>
      </c>
      <c r="N21" s="2">
        <v>0</v>
      </c>
      <c r="O21">
        <v>21</v>
      </c>
      <c r="P21">
        <v>17</v>
      </c>
      <c r="Q21" s="2">
        <v>0</v>
      </c>
      <c r="R21">
        <v>68</v>
      </c>
      <c r="S21">
        <v>3.56</v>
      </c>
      <c r="T21">
        <v>0.6</v>
      </c>
      <c r="U21" s="2">
        <f>Table1[[#This Row],[Uncorrected Glu]]/$I21</f>
        <v>0</v>
      </c>
      <c r="V21" s="2">
        <f>Table1[[#This Row],[Uncorrected OHB]]/$I21</f>
        <v>2.5034685746357836</v>
      </c>
      <c r="W21" s="2">
        <f>Table1[[#This Row],[Uncorrected FrTAG]]/$I21</f>
        <v>2.0266174175623011</v>
      </c>
      <c r="X21" s="2">
        <f>Table1[[#This Row],[Uncorrected FrApoB]]/$I21</f>
        <v>0</v>
      </c>
      <c r="Y21" s="2">
        <f>Table1[[#This Row],[Uncorrected NEFA]]/$I21</f>
        <v>8.1064696702492043</v>
      </c>
      <c r="Z21" s="2">
        <f>((Table1[[#This Row],[FA]]-Table1[[#This Row],[NEFA]])/Table1[[#This Row],[FA]])*100</f>
        <v>95.946765164875401</v>
      </c>
      <c r="AA21" s="2">
        <f>Table1[[#This Row],[Uncorrected Lac]]/$I21</f>
        <v>0.42439752979539952</v>
      </c>
      <c r="AB21" s="2">
        <f>Table1[[#This Row],[Uncorrected Urea]]/$I21</f>
        <v>7.1527673561022381E-2</v>
      </c>
    </row>
    <row r="22" spans="1:28" x14ac:dyDescent="0.25">
      <c r="A22">
        <v>2</v>
      </c>
      <c r="B22">
        <v>7</v>
      </c>
      <c r="C22" t="s">
        <v>4</v>
      </c>
      <c r="D22">
        <v>200</v>
      </c>
      <c r="E22">
        <v>5.5</v>
      </c>
      <c r="F22">
        <v>0.5</v>
      </c>
      <c r="G22" s="2">
        <v>18</v>
      </c>
      <c r="H22">
        <v>2.6</v>
      </c>
      <c r="I22">
        <v>7.5798353221219994</v>
      </c>
      <c r="J22" s="4">
        <v>880.23691298046083</v>
      </c>
      <c r="K22" s="4">
        <f>Table1[[#This Row],[Uncorrected TAG]]/Table1[[#This Row],[Protein (mg/mL)]]</f>
        <v>116.12876475184895</v>
      </c>
      <c r="L22" s="9">
        <v>1342.8449207118626</v>
      </c>
      <c r="M22" s="9">
        <f>Table1[[#This Row],[Uncorrected PL]]/Table1[[#This Row],[Protein (mg/mL)]]</f>
        <v>177.16017085393997</v>
      </c>
      <c r="N22" s="2">
        <v>0</v>
      </c>
      <c r="O22">
        <v>7</v>
      </c>
      <c r="P22">
        <v>9</v>
      </c>
      <c r="Q22" s="2">
        <v>0</v>
      </c>
      <c r="R22">
        <v>65</v>
      </c>
      <c r="S22">
        <v>2.56</v>
      </c>
      <c r="T22">
        <v>0.6</v>
      </c>
      <c r="U22" s="2">
        <f>Table1[[#This Row],[Uncorrected Glu]]/$I22</f>
        <v>0</v>
      </c>
      <c r="V22" s="2">
        <f>Table1[[#This Row],[Uncorrected OHB]]/$I22</f>
        <v>0.9235029129947282</v>
      </c>
      <c r="W22" s="2">
        <f>Table1[[#This Row],[Uncorrected FrTAG]]/$I22</f>
        <v>1.1873608881360791</v>
      </c>
      <c r="X22" s="2">
        <f>Table1[[#This Row],[Uncorrected FrApoB]]/$I22</f>
        <v>0</v>
      </c>
      <c r="Y22" s="2">
        <f>Table1[[#This Row],[Uncorrected NEFA]]/$I22</f>
        <v>8.5753841920939049</v>
      </c>
      <c r="Z22" s="2">
        <f>((Table1[[#This Row],[FA]]-Table1[[#This Row],[NEFA]])/Table1[[#This Row],[FA]])*100</f>
        <v>95.712307903953047</v>
      </c>
      <c r="AA22" s="2">
        <f>Table1[[#This Row],[Uncorrected Lac]]/$I22</f>
        <v>0.33773820818092914</v>
      </c>
      <c r="AB22" s="2">
        <f>Table1[[#This Row],[Uncorrected Urea]]/$I22</f>
        <v>7.9157392542405267E-2</v>
      </c>
    </row>
    <row r="23" spans="1:28" x14ac:dyDescent="0.25">
      <c r="A23">
        <v>3</v>
      </c>
      <c r="B23">
        <v>7</v>
      </c>
      <c r="C23" t="s">
        <v>4</v>
      </c>
      <c r="D23">
        <v>200</v>
      </c>
      <c r="E23">
        <v>5.5</v>
      </c>
      <c r="F23">
        <v>0.5</v>
      </c>
      <c r="G23" s="2">
        <v>19</v>
      </c>
      <c r="H23">
        <v>2.7</v>
      </c>
      <c r="I23">
        <v>6.8012479279999996</v>
      </c>
      <c r="J23" s="4">
        <v>954.65717359798964</v>
      </c>
      <c r="K23" s="4">
        <f>Table1[[#This Row],[Uncorrected TAG]]/Table1[[#This Row],[Protein (mg/mL)]]</f>
        <v>140.36500120334824</v>
      </c>
      <c r="L23" s="9">
        <v>1339.4102339821704</v>
      </c>
      <c r="M23" s="9">
        <f>Table1[[#This Row],[Uncorrected PL]]/Table1[[#This Row],[Protein (mg/mL)]]</f>
        <v>196.9359517784911</v>
      </c>
      <c r="N23" s="2">
        <v>0.06</v>
      </c>
      <c r="O23">
        <v>0</v>
      </c>
      <c r="P23">
        <v>8</v>
      </c>
      <c r="Q23" s="2">
        <v>0</v>
      </c>
      <c r="R23">
        <v>65</v>
      </c>
      <c r="S23">
        <v>1.88</v>
      </c>
      <c r="T23">
        <v>0.7</v>
      </c>
      <c r="U23" s="2">
        <f>Table1[[#This Row],[Uncorrected Glu]]/$I23</f>
        <v>8.8219104251422015E-3</v>
      </c>
      <c r="V23" s="2">
        <f>Table1[[#This Row],[Uncorrected OHB]]/$I23</f>
        <v>0</v>
      </c>
      <c r="W23" s="2">
        <f>Table1[[#This Row],[Uncorrected FrTAG]]/$I23</f>
        <v>1.1762547233522938</v>
      </c>
      <c r="X23" s="2">
        <f>Table1[[#This Row],[Uncorrected FrApoB]]/$I23</f>
        <v>0</v>
      </c>
      <c r="Y23" s="2">
        <f>Table1[[#This Row],[Uncorrected NEFA]]/$I23</f>
        <v>9.5570696272373858</v>
      </c>
      <c r="Z23" s="2">
        <f>((Table1[[#This Row],[FA]]-Table1[[#This Row],[NEFA]])/Table1[[#This Row],[FA]])*100</f>
        <v>95.221465186381309</v>
      </c>
      <c r="AA23" s="2">
        <f>Table1[[#This Row],[Uncorrected Lac]]/$I23</f>
        <v>0.27641985998778901</v>
      </c>
      <c r="AB23" s="2">
        <f>Table1[[#This Row],[Uncorrected Urea]]/$I23</f>
        <v>0.10292228829332568</v>
      </c>
    </row>
    <row r="24" spans="1:28" x14ac:dyDescent="0.25">
      <c r="A24">
        <v>3</v>
      </c>
      <c r="B24">
        <v>7</v>
      </c>
      <c r="C24" t="s">
        <v>4</v>
      </c>
      <c r="D24">
        <v>200</v>
      </c>
      <c r="E24">
        <v>5.5</v>
      </c>
      <c r="F24">
        <v>0.5</v>
      </c>
      <c r="G24" s="2">
        <v>20</v>
      </c>
      <c r="H24">
        <v>2.8</v>
      </c>
      <c r="I24">
        <v>6.6438000334759995</v>
      </c>
      <c r="J24" s="4">
        <v>1041.5577454848769</v>
      </c>
      <c r="K24" s="4">
        <f>Table1[[#This Row],[Uncorrected TAG]]/Table1[[#This Row],[Protein (mg/mL)]]</f>
        <v>156.7713868925612</v>
      </c>
      <c r="L24" s="9">
        <v>1712.0288772712036</v>
      </c>
      <c r="M24" s="9">
        <f>Table1[[#This Row],[Uncorrected PL]]/Table1[[#This Row],[Protein (mg/mL)]]</f>
        <v>257.68820082555669</v>
      </c>
      <c r="N24" s="2">
        <v>0</v>
      </c>
      <c r="O24">
        <v>20</v>
      </c>
      <c r="P24">
        <v>11</v>
      </c>
      <c r="Q24" s="2">
        <v>0</v>
      </c>
      <c r="R24">
        <v>64</v>
      </c>
      <c r="S24">
        <v>2.65</v>
      </c>
      <c r="T24">
        <v>0.6</v>
      </c>
      <c r="U24" s="2">
        <f>Table1[[#This Row],[Uncorrected Glu]]/$I24</f>
        <v>0</v>
      </c>
      <c r="V24" s="2">
        <f>Table1[[#This Row],[Uncorrected OHB]]/$I24</f>
        <v>3.0103254010094145</v>
      </c>
      <c r="W24" s="2">
        <f>Table1[[#This Row],[Uncorrected FrTAG]]/$I24</f>
        <v>1.655678970555178</v>
      </c>
      <c r="X24" s="2">
        <f>Table1[[#This Row],[Uncorrected FrApoB]]/$I24</f>
        <v>0</v>
      </c>
      <c r="Y24" s="2">
        <f>Table1[[#This Row],[Uncorrected NEFA]]/$I24</f>
        <v>9.633041283230126</v>
      </c>
      <c r="Z24" s="2">
        <f>((Table1[[#This Row],[FA]]-Table1[[#This Row],[NEFA]])/Table1[[#This Row],[FA]])*100</f>
        <v>95.183479358384943</v>
      </c>
      <c r="AA24" s="2">
        <f>Table1[[#This Row],[Uncorrected Lac]]/$I24</f>
        <v>0.39886811563374741</v>
      </c>
      <c r="AB24" s="2">
        <f>Table1[[#This Row],[Uncorrected Urea]]/$I24</f>
        <v>9.0309762030282431E-2</v>
      </c>
    </row>
    <row r="25" spans="1:28" x14ac:dyDescent="0.25">
      <c r="A25">
        <v>3</v>
      </c>
      <c r="B25">
        <v>7</v>
      </c>
      <c r="C25" t="s">
        <v>4</v>
      </c>
      <c r="D25">
        <v>200</v>
      </c>
      <c r="E25">
        <v>5.5</v>
      </c>
      <c r="F25">
        <v>0.5</v>
      </c>
      <c r="G25" s="2">
        <v>21</v>
      </c>
      <c r="H25">
        <v>2.9</v>
      </c>
      <c r="I25">
        <v>5.2207208147840003</v>
      </c>
      <c r="J25" s="4">
        <v>1089.2280659449964</v>
      </c>
      <c r="K25" s="4">
        <f>Table1[[#This Row],[Uncorrected TAG]]/Table1[[#This Row],[Protein (mg/mL)]]</f>
        <v>208.6355705634609</v>
      </c>
      <c r="L25" s="9">
        <v>1447.6788332553158</v>
      </c>
      <c r="M25" s="9">
        <f>Table1[[#This Row],[Uncorrected PL]]/Table1[[#This Row],[Protein (mg/mL)]]</f>
        <v>277.29481897514785</v>
      </c>
      <c r="N25" s="2">
        <v>0</v>
      </c>
      <c r="O25">
        <v>5</v>
      </c>
      <c r="P25">
        <v>16</v>
      </c>
      <c r="Q25" s="2">
        <v>0</v>
      </c>
      <c r="R25">
        <v>243</v>
      </c>
      <c r="S25">
        <v>2.82</v>
      </c>
      <c r="T25">
        <v>0.5</v>
      </c>
      <c r="U25" s="2">
        <f>Table1[[#This Row],[Uncorrected Glu]]/$I25</f>
        <v>0</v>
      </c>
      <c r="V25" s="2">
        <f>Table1[[#This Row],[Uncorrected OHB]]/$I25</f>
        <v>0.95772215703261421</v>
      </c>
      <c r="W25" s="2">
        <f>Table1[[#This Row],[Uncorrected FrTAG]]/$I25</f>
        <v>3.0647109025043657</v>
      </c>
      <c r="X25" s="2">
        <f>Table1[[#This Row],[Uncorrected FrApoB]]/$I25</f>
        <v>0</v>
      </c>
      <c r="Y25" s="2">
        <f>Table1[[#This Row],[Uncorrected NEFA]]/$I25</f>
        <v>46.545296831785052</v>
      </c>
      <c r="Z25" s="2">
        <f>((Table1[[#This Row],[FA]]-Table1[[#This Row],[NEFA]])/Table1[[#This Row],[FA]])*100</f>
        <v>76.727351584107481</v>
      </c>
      <c r="AA25" s="2">
        <f>Table1[[#This Row],[Uncorrected Lac]]/$I25</f>
        <v>0.54015529656639438</v>
      </c>
      <c r="AB25" s="2">
        <f>Table1[[#This Row],[Uncorrected Urea]]/$I25</f>
        <v>9.5772215703261429E-2</v>
      </c>
    </row>
    <row r="26" spans="1:28" x14ac:dyDescent="0.25">
      <c r="A26">
        <v>4</v>
      </c>
      <c r="B26">
        <v>7</v>
      </c>
      <c r="C26" t="s">
        <v>4</v>
      </c>
      <c r="D26">
        <v>200</v>
      </c>
      <c r="E26">
        <v>5.5</v>
      </c>
      <c r="F26">
        <v>0.5</v>
      </c>
      <c r="H26">
        <v>4</v>
      </c>
      <c r="J26" s="2"/>
      <c r="K26" s="6" t="e">
        <f>Table1[[#This Row],[Uncorrected TAG]]/Table1[[#This Row],[Protein (mg/mL)]]</f>
        <v>#DIV/0!</v>
      </c>
      <c r="L26" s="2"/>
      <c r="N26" s="2">
        <v>0</v>
      </c>
      <c r="O26">
        <v>0</v>
      </c>
      <c r="P26">
        <v>10</v>
      </c>
      <c r="Q26" s="2">
        <v>0</v>
      </c>
      <c r="R26">
        <v>61</v>
      </c>
      <c r="S26">
        <v>4.0999999999999996</v>
      </c>
      <c r="T26">
        <v>0.7</v>
      </c>
      <c r="U26" s="2" t="e">
        <f>Table1[[#This Row],[Uncorrected Glu]]/$I26</f>
        <v>#DIV/0!</v>
      </c>
      <c r="V26" s="2" t="e">
        <f>Table1[[#This Row],[Uncorrected OHB]]/$I26</f>
        <v>#DIV/0!</v>
      </c>
      <c r="W26" s="2" t="e">
        <f>Table1[[#This Row],[Uncorrected FrTAG]]/$I26</f>
        <v>#DIV/0!</v>
      </c>
      <c r="X26" s="2" t="e">
        <f>Table1[[#This Row],[Uncorrected FrApoB]]/$I26</f>
        <v>#DIV/0!</v>
      </c>
      <c r="Y26" s="2" t="e">
        <f>Table1[[#This Row],[Uncorrected NEFA]]/$I26</f>
        <v>#DIV/0!</v>
      </c>
      <c r="Z26" s="2" t="e">
        <f>((Table1[[#This Row],[FA]]-Table1[[#This Row],[NEFA]])/Table1[[#This Row],[FA]])*100</f>
        <v>#DIV/0!</v>
      </c>
      <c r="AA26" s="2" t="e">
        <f>Table1[[#This Row],[Uncorrected Lac]]/$I26</f>
        <v>#DIV/0!</v>
      </c>
      <c r="AB26" s="2" t="e">
        <f>Table1[[#This Row],[Uncorrected Urea]]/$I26</f>
        <v>#DIV/0!</v>
      </c>
    </row>
    <row r="27" spans="1:28" x14ac:dyDescent="0.25">
      <c r="A27">
        <v>4</v>
      </c>
      <c r="B27">
        <v>7</v>
      </c>
      <c r="C27" t="s">
        <v>4</v>
      </c>
      <c r="D27">
        <v>200</v>
      </c>
      <c r="E27">
        <v>5.5</v>
      </c>
      <c r="F27">
        <v>0.5</v>
      </c>
      <c r="H27">
        <v>5</v>
      </c>
      <c r="J27" s="2"/>
      <c r="K27" s="6" t="e">
        <f>Table1[[#This Row],[Uncorrected TAG]]/Table1[[#This Row],[Protein (mg/mL)]]</f>
        <v>#DIV/0!</v>
      </c>
      <c r="L27" s="2"/>
      <c r="N27" s="2">
        <v>0</v>
      </c>
      <c r="O27">
        <v>0</v>
      </c>
      <c r="P27">
        <v>12</v>
      </c>
      <c r="Q27" s="2">
        <v>0</v>
      </c>
      <c r="R27">
        <v>62</v>
      </c>
      <c r="S27">
        <v>4.34</v>
      </c>
      <c r="T27">
        <v>0.6</v>
      </c>
      <c r="U27" s="2" t="e">
        <f>Table1[[#This Row],[Uncorrected Glu]]/$I27</f>
        <v>#DIV/0!</v>
      </c>
      <c r="V27" s="2" t="e">
        <f>Table1[[#This Row],[Uncorrected OHB]]/$I27</f>
        <v>#DIV/0!</v>
      </c>
      <c r="W27" s="2" t="e">
        <f>Table1[[#This Row],[Uncorrected FrTAG]]/$I27</f>
        <v>#DIV/0!</v>
      </c>
      <c r="X27" s="2" t="e">
        <f>Table1[[#This Row],[Uncorrected FrApoB]]/$I27</f>
        <v>#DIV/0!</v>
      </c>
      <c r="Y27" s="2" t="e">
        <f>Table1[[#This Row],[Uncorrected NEFA]]/$I27</f>
        <v>#DIV/0!</v>
      </c>
      <c r="Z27" s="2" t="e">
        <f>((Table1[[#This Row],[FA]]-Table1[[#This Row],[NEFA]])/Table1[[#This Row],[FA]])*100</f>
        <v>#DIV/0!</v>
      </c>
      <c r="AA27" s="2" t="e">
        <f>Table1[[#This Row],[Uncorrected Lac]]/$I27</f>
        <v>#DIV/0!</v>
      </c>
      <c r="AB27" s="2" t="e">
        <f>Table1[[#This Row],[Uncorrected Urea]]/$I27</f>
        <v>#DIV/0!</v>
      </c>
    </row>
    <row r="28" spans="1:28" x14ac:dyDescent="0.25">
      <c r="A28">
        <v>4</v>
      </c>
      <c r="B28">
        <v>7</v>
      </c>
      <c r="C28" t="s">
        <v>4</v>
      </c>
      <c r="D28">
        <v>200</v>
      </c>
      <c r="E28">
        <v>5.5</v>
      </c>
      <c r="F28">
        <v>0.5</v>
      </c>
      <c r="H28">
        <v>6</v>
      </c>
      <c r="J28" s="2"/>
      <c r="K28" s="6" t="e">
        <f>Table1[[#This Row],[Uncorrected TAG]]/Table1[[#This Row],[Protein (mg/mL)]]</f>
        <v>#DIV/0!</v>
      </c>
      <c r="L28" s="2"/>
      <c r="N28" s="2">
        <v>0</v>
      </c>
      <c r="O28" s="2">
        <v>2</v>
      </c>
      <c r="P28" s="2">
        <v>6</v>
      </c>
      <c r="Q28" s="2">
        <v>0</v>
      </c>
      <c r="R28" s="2">
        <v>84</v>
      </c>
      <c r="S28" s="2">
        <v>1.35</v>
      </c>
      <c r="T28" s="2">
        <v>0.5</v>
      </c>
      <c r="U28" s="2" t="e">
        <f>Table1[[#This Row],[Uncorrected Glu]]/$I28</f>
        <v>#DIV/0!</v>
      </c>
      <c r="V28" s="2" t="e">
        <f>Table1[[#This Row],[Uncorrected OHB]]/$I28</f>
        <v>#DIV/0!</v>
      </c>
      <c r="W28" s="2" t="e">
        <f>Table1[[#This Row],[Uncorrected FrTAG]]/$I28</f>
        <v>#DIV/0!</v>
      </c>
      <c r="X28" s="2" t="e">
        <f>Table1[[#This Row],[Uncorrected FrApoB]]/$I28</f>
        <v>#DIV/0!</v>
      </c>
      <c r="Y28" s="2" t="e">
        <f>Table1[[#This Row],[Uncorrected NEFA]]/$I28</f>
        <v>#DIV/0!</v>
      </c>
      <c r="Z28" s="2" t="e">
        <f>((Table1[[#This Row],[FA]]-Table1[[#This Row],[NEFA]])/Table1[[#This Row],[FA]])*100</f>
        <v>#DIV/0!</v>
      </c>
      <c r="AA28" s="2" t="e">
        <f>Table1[[#This Row],[Uncorrected Lac]]/$I28</f>
        <v>#DIV/0!</v>
      </c>
      <c r="AB28" s="2" t="e">
        <f>Table1[[#This Row],[Uncorrected Urea]]/$I28</f>
        <v>#DIV/0!</v>
      </c>
    </row>
    <row r="29" spans="1:28" x14ac:dyDescent="0.25">
      <c r="A29">
        <v>5</v>
      </c>
      <c r="B29">
        <v>7</v>
      </c>
      <c r="C29" t="s">
        <v>4</v>
      </c>
      <c r="D29">
        <v>200</v>
      </c>
      <c r="E29" s="2">
        <v>5.5</v>
      </c>
      <c r="F29" s="2">
        <v>0.5</v>
      </c>
      <c r="H29">
        <v>13</v>
      </c>
      <c r="J29" s="2"/>
      <c r="K29" s="6" t="e">
        <f>Table1[[#This Row],[Uncorrected TAG]]/Table1[[#This Row],[Protein (mg/mL)]]</f>
        <v>#DIV/0!</v>
      </c>
      <c r="L29" s="2"/>
      <c r="N29" s="2">
        <v>0</v>
      </c>
      <c r="O29" s="2">
        <v>0</v>
      </c>
      <c r="P29" s="2">
        <v>3</v>
      </c>
      <c r="Q29" s="2">
        <v>0</v>
      </c>
      <c r="R29" s="2">
        <v>52</v>
      </c>
      <c r="S29" s="2">
        <v>1.78</v>
      </c>
      <c r="T29" s="2">
        <v>0.7</v>
      </c>
      <c r="U29" s="2" t="e">
        <f>Table1[[#This Row],[Uncorrected Glu]]/$I29</f>
        <v>#DIV/0!</v>
      </c>
      <c r="V29" s="2" t="e">
        <f>Table1[[#This Row],[Uncorrected OHB]]/$I29</f>
        <v>#DIV/0!</v>
      </c>
      <c r="W29" s="2" t="e">
        <f>Table1[[#This Row],[Uncorrected FrTAG]]/$I29</f>
        <v>#DIV/0!</v>
      </c>
      <c r="X29" s="2" t="e">
        <f>Table1[[#This Row],[Uncorrected FrApoB]]/$I29</f>
        <v>#DIV/0!</v>
      </c>
      <c r="Y29" s="2" t="e">
        <f>Table1[[#This Row],[Uncorrected NEFA]]/$I29</f>
        <v>#DIV/0!</v>
      </c>
      <c r="Z29" s="2" t="e">
        <f>((Table1[[#This Row],[FA]]-Table1[[#This Row],[NEFA]])/Table1[[#This Row],[FA]])*100</f>
        <v>#DIV/0!</v>
      </c>
      <c r="AA29" s="2" t="e">
        <f>Table1[[#This Row],[Uncorrected Lac]]/$I29</f>
        <v>#DIV/0!</v>
      </c>
      <c r="AB29" s="2" t="e">
        <f>Table1[[#This Row],[Uncorrected Urea]]/$I29</f>
        <v>#DIV/0!</v>
      </c>
    </row>
    <row r="30" spans="1:28" x14ac:dyDescent="0.25">
      <c r="A30">
        <v>5</v>
      </c>
      <c r="B30">
        <v>7</v>
      </c>
      <c r="C30" t="s">
        <v>4</v>
      </c>
      <c r="D30">
        <v>200</v>
      </c>
      <c r="E30" s="2">
        <v>5.5</v>
      </c>
      <c r="F30" s="2">
        <v>0.5</v>
      </c>
      <c r="H30">
        <v>14</v>
      </c>
      <c r="J30" s="2"/>
      <c r="K30" s="6" t="e">
        <f>Table1[[#This Row],[Uncorrected TAG]]/Table1[[#This Row],[Protein (mg/mL)]]</f>
        <v>#DIV/0!</v>
      </c>
      <c r="L30" s="2"/>
      <c r="N30" s="2">
        <v>0</v>
      </c>
      <c r="O30" s="2">
        <v>6</v>
      </c>
      <c r="P30" s="2">
        <v>7</v>
      </c>
      <c r="Q30" s="2">
        <v>0</v>
      </c>
      <c r="R30" s="2">
        <v>54</v>
      </c>
      <c r="S30" s="2">
        <v>5.54</v>
      </c>
      <c r="T30" s="2">
        <v>0.7</v>
      </c>
      <c r="U30" s="2" t="e">
        <f>Table1[[#This Row],[Uncorrected Glu]]/$I30</f>
        <v>#DIV/0!</v>
      </c>
      <c r="V30" s="2" t="e">
        <f>Table1[[#This Row],[Uncorrected OHB]]/$I30</f>
        <v>#DIV/0!</v>
      </c>
      <c r="W30" s="2" t="e">
        <f>Table1[[#This Row],[Uncorrected FrTAG]]/$I30</f>
        <v>#DIV/0!</v>
      </c>
      <c r="X30" s="2" t="e">
        <f>Table1[[#This Row],[Uncorrected FrApoB]]/$I30</f>
        <v>#DIV/0!</v>
      </c>
      <c r="Y30" s="2" t="e">
        <f>Table1[[#This Row],[Uncorrected NEFA]]/$I30</f>
        <v>#DIV/0!</v>
      </c>
      <c r="Z30" s="2" t="e">
        <f>((Table1[[#This Row],[FA]]-Table1[[#This Row],[NEFA]])/Table1[[#This Row],[FA]])*100</f>
        <v>#DIV/0!</v>
      </c>
      <c r="AA30" s="2" t="e">
        <f>Table1[[#This Row],[Uncorrected Lac]]/$I30</f>
        <v>#DIV/0!</v>
      </c>
      <c r="AB30" s="2" t="e">
        <f>Table1[[#This Row],[Uncorrected Urea]]/$I30</f>
        <v>#DIV/0!</v>
      </c>
    </row>
    <row r="31" spans="1:28" x14ac:dyDescent="0.25">
      <c r="A31">
        <v>5</v>
      </c>
      <c r="B31">
        <v>7</v>
      </c>
      <c r="C31" t="s">
        <v>4</v>
      </c>
      <c r="D31">
        <v>200</v>
      </c>
      <c r="E31" s="2">
        <v>5.5</v>
      </c>
      <c r="F31" s="2">
        <v>0.5</v>
      </c>
      <c r="H31" s="2">
        <v>15</v>
      </c>
      <c r="J31" s="2"/>
      <c r="K31" s="6" t="e">
        <f>Table1[[#This Row],[Uncorrected TAG]]/Table1[[#This Row],[Protein (mg/mL)]]</f>
        <v>#DIV/0!</v>
      </c>
      <c r="N31" s="2">
        <v>0</v>
      </c>
      <c r="O31" s="2">
        <v>0</v>
      </c>
      <c r="P31" s="2">
        <v>24</v>
      </c>
      <c r="Q31" s="2">
        <v>0</v>
      </c>
      <c r="R31" s="2">
        <v>153</v>
      </c>
      <c r="S31" s="2">
        <v>3.51</v>
      </c>
      <c r="T31" s="2">
        <v>0.5</v>
      </c>
      <c r="U31" s="2" t="e">
        <f>Table1[[#This Row],[Uncorrected Glu]]/$I31</f>
        <v>#DIV/0!</v>
      </c>
      <c r="V31" s="2" t="e">
        <f>Table1[[#This Row],[Uncorrected OHB]]/$I31</f>
        <v>#DIV/0!</v>
      </c>
      <c r="W31" s="2" t="e">
        <f>Table1[[#This Row],[Uncorrected FrTAG]]/$I31</f>
        <v>#DIV/0!</v>
      </c>
      <c r="X31" s="2" t="e">
        <f>Table1[[#This Row],[Uncorrected FrApoB]]/$I31</f>
        <v>#DIV/0!</v>
      </c>
      <c r="Y31" s="2" t="e">
        <f>Table1[[#This Row],[Uncorrected NEFA]]/$I31</f>
        <v>#DIV/0!</v>
      </c>
      <c r="Z31" s="2" t="e">
        <f>((Table1[[#This Row],[FA]]-Table1[[#This Row],[NEFA]])/Table1[[#This Row],[FA]])*100</f>
        <v>#DIV/0!</v>
      </c>
      <c r="AA31" s="2" t="e">
        <f>Table1[[#This Row],[Uncorrected Lac]]/$I31</f>
        <v>#DIV/0!</v>
      </c>
      <c r="AB31" s="2" t="e">
        <f>Table1[[#This Row],[Uncorrected Urea]]/$I31</f>
        <v>#DIV/0!</v>
      </c>
    </row>
    <row r="32" spans="1:28" x14ac:dyDescent="0.25">
      <c r="A32">
        <v>1</v>
      </c>
      <c r="B32">
        <v>7</v>
      </c>
      <c r="C32" t="s">
        <v>4</v>
      </c>
      <c r="D32">
        <v>800</v>
      </c>
      <c r="E32" s="2">
        <v>5.5</v>
      </c>
      <c r="F32" s="2">
        <v>0.5</v>
      </c>
      <c r="G32" s="2">
        <v>7</v>
      </c>
      <c r="H32" s="2">
        <v>8.1</v>
      </c>
      <c r="I32">
        <v>5.8752448408450002</v>
      </c>
      <c r="J32" s="5">
        <v>3008.2012624551003</v>
      </c>
      <c r="K32" s="5">
        <f>Table1[[#This Row],[Uncorrected TAG]]/Table1[[#This Row],[Protein (mg/mL)]]</f>
        <v>512.01291928158173</v>
      </c>
      <c r="L32" s="9">
        <v>1065.8984734376345</v>
      </c>
      <c r="M32" s="9">
        <f>Table1[[#This Row],[Uncorrected PL]]/Table1[[#This Row],[Protein (mg/mL)]]</f>
        <v>181.42196662638707</v>
      </c>
      <c r="N32" s="2">
        <v>0</v>
      </c>
      <c r="O32" s="2">
        <v>4</v>
      </c>
      <c r="P32" s="2">
        <v>23</v>
      </c>
      <c r="Q32" s="2">
        <v>0</v>
      </c>
      <c r="R32" s="2">
        <v>312</v>
      </c>
      <c r="S32" s="2">
        <v>3.69</v>
      </c>
      <c r="T32" s="2">
        <v>0.7</v>
      </c>
      <c r="U32" s="2">
        <f>Table1[[#This Row],[Uncorrected Glu]]/$I32</f>
        <v>0</v>
      </c>
      <c r="V32" s="2">
        <f>Table1[[#This Row],[Uncorrected OHB]]/$I32</f>
        <v>0.68082269051866517</v>
      </c>
      <c r="W32" s="2">
        <f>Table1[[#This Row],[Uncorrected FrTAG]]/$I32</f>
        <v>3.9147304704823251</v>
      </c>
      <c r="X32" s="2">
        <f>Table1[[#This Row],[Uncorrected FrApoB]]/$I32</f>
        <v>0</v>
      </c>
      <c r="Y32" s="2">
        <f>Table1[[#This Row],[Uncorrected NEFA]]/$I32</f>
        <v>53.104169860455883</v>
      </c>
      <c r="Z32" s="2">
        <f>((Table1[[#This Row],[FA]]-Table1[[#This Row],[NEFA]])/Table1[[#This Row],[FA]])*100</f>
        <v>93.36197876744302</v>
      </c>
      <c r="AA32" s="2">
        <f>Table1[[#This Row],[Uncorrected Lac]]/$I32</f>
        <v>0.62805893200346863</v>
      </c>
      <c r="AB32" s="2">
        <f>Table1[[#This Row],[Uncorrected Urea]]/$I32</f>
        <v>0.1191439708407664</v>
      </c>
    </row>
    <row r="33" spans="1:28" x14ac:dyDescent="0.25">
      <c r="A33">
        <v>1</v>
      </c>
      <c r="B33">
        <v>7</v>
      </c>
      <c r="C33" t="s">
        <v>4</v>
      </c>
      <c r="D33">
        <v>800</v>
      </c>
      <c r="E33" s="2">
        <v>5.5</v>
      </c>
      <c r="F33" s="2">
        <v>0.5</v>
      </c>
      <c r="G33" s="2">
        <v>8</v>
      </c>
      <c r="H33" s="2">
        <v>8.1999999999999993</v>
      </c>
      <c r="I33">
        <v>6.3411728336199999</v>
      </c>
      <c r="J33" s="4">
        <v>3472.3980065375717</v>
      </c>
      <c r="K33" s="4">
        <f>Table1[[#This Row],[Uncorrected TAG]]/Table1[[#This Row],[Protein (mg/mL)]]</f>
        <v>547.59554701417528</v>
      </c>
      <c r="L33" s="9">
        <v>1201.1955284304968</v>
      </c>
      <c r="M33" s="9">
        <f>Table1[[#This Row],[Uncorrected PL]]/Table1[[#This Row],[Protein (mg/mL)]]</f>
        <v>189.42797491056044</v>
      </c>
      <c r="N33" s="2">
        <v>0</v>
      </c>
      <c r="O33" s="2">
        <v>0</v>
      </c>
      <c r="P33" s="2">
        <v>20</v>
      </c>
      <c r="Q33" s="2">
        <v>0</v>
      </c>
      <c r="R33" s="2">
        <v>263</v>
      </c>
      <c r="S33" s="2">
        <v>3.53</v>
      </c>
      <c r="T33" s="2">
        <v>0.6</v>
      </c>
      <c r="U33" s="2">
        <f>Table1[[#This Row],[Uncorrected Glu]]/$I33</f>
        <v>0</v>
      </c>
      <c r="V33" s="2">
        <f>Table1[[#This Row],[Uncorrected OHB]]/$I33</f>
        <v>0</v>
      </c>
      <c r="W33" s="2">
        <f>Table1[[#This Row],[Uncorrected FrTAG]]/$I33</f>
        <v>3.1539906772392063</v>
      </c>
      <c r="X33" s="2">
        <f>Table1[[#This Row],[Uncorrected FrApoB]]/$I33</f>
        <v>0</v>
      </c>
      <c r="Y33" s="2">
        <f>Table1[[#This Row],[Uncorrected NEFA]]/$I33</f>
        <v>41.474977405695562</v>
      </c>
      <c r="Z33" s="2">
        <f>((Table1[[#This Row],[FA]]-Table1[[#This Row],[NEFA]])/Table1[[#This Row],[FA]])*100</f>
        <v>94.815627824288057</v>
      </c>
      <c r="AA33" s="2">
        <f>Table1[[#This Row],[Uncorrected Lac]]/$I33</f>
        <v>0.55667935453271988</v>
      </c>
      <c r="AB33" s="2">
        <f>Table1[[#This Row],[Uncorrected Urea]]/$I33</f>
        <v>9.4619720317176179E-2</v>
      </c>
    </row>
    <row r="34" spans="1:28" x14ac:dyDescent="0.25">
      <c r="A34">
        <v>1</v>
      </c>
      <c r="B34">
        <v>7</v>
      </c>
      <c r="C34" t="s">
        <v>4</v>
      </c>
      <c r="D34">
        <v>800</v>
      </c>
      <c r="E34" s="2">
        <v>5.5</v>
      </c>
      <c r="F34" s="2">
        <v>0.5</v>
      </c>
      <c r="G34" s="2">
        <v>9</v>
      </c>
      <c r="H34" s="2">
        <v>8.3000000000000007</v>
      </c>
      <c r="I34">
        <v>5.4560995522600004</v>
      </c>
      <c r="J34" s="5">
        <v>3601.768070221312</v>
      </c>
      <c r="K34" s="5">
        <f>Table1[[#This Row],[Uncorrected TAG]]/Table1[[#This Row],[Protein (mg/mL)]]</f>
        <v>660.13606161738824</v>
      </c>
      <c r="L34" s="9">
        <v>1187.9506007766981</v>
      </c>
      <c r="M34" s="9">
        <f>Table1[[#This Row],[Uncorrected PL]]/Table1[[#This Row],[Protein (mg/mL)]]</f>
        <v>217.72890860919696</v>
      </c>
      <c r="N34" s="2">
        <v>0</v>
      </c>
      <c r="O34" s="2">
        <v>22</v>
      </c>
      <c r="P34" s="2">
        <v>11</v>
      </c>
      <c r="Q34" s="2">
        <v>0</v>
      </c>
      <c r="R34" s="2">
        <v>117</v>
      </c>
      <c r="S34" s="2">
        <v>1.78</v>
      </c>
      <c r="T34" s="2">
        <v>0.7</v>
      </c>
      <c r="U34" s="2">
        <f>Table1[[#This Row],[Uncorrected Glu]]/$I34</f>
        <v>0</v>
      </c>
      <c r="V34" s="2">
        <f>Table1[[#This Row],[Uncorrected OHB]]/$I34</f>
        <v>4.0321844917377403</v>
      </c>
      <c r="W34" s="2">
        <f>Table1[[#This Row],[Uncorrected FrTAG]]/$I34</f>
        <v>2.0160922458688701</v>
      </c>
      <c r="X34" s="2">
        <f>Table1[[#This Row],[Uncorrected FrApoB]]/$I34</f>
        <v>0</v>
      </c>
      <c r="Y34" s="2">
        <f>Table1[[#This Row],[Uncorrected NEFA]]/$I34</f>
        <v>21.443890251514343</v>
      </c>
      <c r="Z34" s="2">
        <f>((Table1[[#This Row],[FA]]-Table1[[#This Row],[NEFA]])/Table1[[#This Row],[FA]])*100</f>
        <v>97.319513718560714</v>
      </c>
      <c r="AA34" s="2">
        <f>Table1[[#This Row],[Uncorrected Lac]]/$I34</f>
        <v>0.3262403816042353</v>
      </c>
      <c r="AB34" s="2">
        <f>Table1[[#This Row],[Uncorrected Urea]]/$I34</f>
        <v>0.12829677928256444</v>
      </c>
    </row>
    <row r="35" spans="1:28" x14ac:dyDescent="0.25">
      <c r="A35">
        <v>2</v>
      </c>
      <c r="B35">
        <v>7</v>
      </c>
      <c r="C35" t="s">
        <v>4</v>
      </c>
      <c r="D35">
        <v>800</v>
      </c>
      <c r="E35" s="2">
        <v>5.5</v>
      </c>
      <c r="F35" s="2">
        <v>0.5</v>
      </c>
      <c r="G35" s="2">
        <v>22</v>
      </c>
      <c r="H35" s="2">
        <v>8.4</v>
      </c>
      <c r="I35">
        <v>7.8596569345380001</v>
      </c>
      <c r="J35" s="4">
        <v>3455.2564427551597</v>
      </c>
      <c r="K35" s="4">
        <f>Table1[[#This Row],[Uncorrected TAG]]/Table1[[#This Row],[Protein (mg/mL)]]</f>
        <v>439.61924439368215</v>
      </c>
      <c r="L35" s="9">
        <v>1350.444625170499</v>
      </c>
      <c r="M35" s="9">
        <f>Table1[[#This Row],[Uncorrected PL]]/Table1[[#This Row],[Protein (mg/mL)]]</f>
        <v>171.81979269809946</v>
      </c>
      <c r="N35" s="2">
        <v>0</v>
      </c>
      <c r="O35" s="2">
        <v>23</v>
      </c>
      <c r="P35" s="2">
        <v>15</v>
      </c>
      <c r="Q35" s="2">
        <v>0</v>
      </c>
      <c r="R35" s="2">
        <v>138</v>
      </c>
      <c r="S35" s="2">
        <v>2.29</v>
      </c>
      <c r="T35" s="2">
        <v>0.7</v>
      </c>
      <c r="U35" s="2">
        <f>Table1[[#This Row],[Uncorrected Glu]]/$I35</f>
        <v>0</v>
      </c>
      <c r="V35" s="2">
        <f>Table1[[#This Row],[Uncorrected OHB]]/$I35</f>
        <v>2.9263363772189845</v>
      </c>
      <c r="W35" s="2">
        <f>Table1[[#This Row],[Uncorrected FrTAG]]/$I35</f>
        <v>1.9084802460123811</v>
      </c>
      <c r="X35" s="2">
        <f>Table1[[#This Row],[Uncorrected FrApoB]]/$I35</f>
        <v>0</v>
      </c>
      <c r="Y35" s="2">
        <f>Table1[[#This Row],[Uncorrected NEFA]]/$I35</f>
        <v>17.558018263313908</v>
      </c>
      <c r="Z35" s="2">
        <f>((Table1[[#This Row],[FA]]-Table1[[#This Row],[NEFA]])/Table1[[#This Row],[FA]])*100</f>
        <v>97.805247717085763</v>
      </c>
      <c r="AA35" s="2">
        <f>Table1[[#This Row],[Uncorrected Lac]]/$I35</f>
        <v>0.29136131755789019</v>
      </c>
      <c r="AB35" s="2">
        <f>Table1[[#This Row],[Uncorrected Urea]]/$I35</f>
        <v>8.906241148057778E-2</v>
      </c>
    </row>
    <row r="36" spans="1:28" x14ac:dyDescent="0.25">
      <c r="A36">
        <v>2</v>
      </c>
      <c r="B36">
        <v>7</v>
      </c>
      <c r="C36" t="s">
        <v>4</v>
      </c>
      <c r="D36">
        <v>800</v>
      </c>
      <c r="E36" s="2">
        <v>5.5</v>
      </c>
      <c r="F36" s="2">
        <v>0.5</v>
      </c>
      <c r="G36" s="2">
        <v>23</v>
      </c>
      <c r="H36" s="2">
        <v>8.5</v>
      </c>
      <c r="I36">
        <v>8.9684752212340015</v>
      </c>
      <c r="J36" s="4">
        <v>3926.3634959605693</v>
      </c>
      <c r="K36" s="4">
        <f>Table1[[#This Row],[Uncorrected TAG]]/Table1[[#This Row],[Protein (mg/mL)]]</f>
        <v>437.79610235911741</v>
      </c>
      <c r="L36" s="9">
        <v>1524.8404500339509</v>
      </c>
      <c r="M36" s="9">
        <f>Table1[[#This Row],[Uncorrected PL]]/Table1[[#This Row],[Protein (mg/mL)]]</f>
        <v>170.02226269452112</v>
      </c>
      <c r="N36" s="2">
        <v>0.01</v>
      </c>
      <c r="O36" s="2">
        <v>4</v>
      </c>
      <c r="P36" s="2">
        <v>9</v>
      </c>
      <c r="Q36" s="2">
        <v>0</v>
      </c>
      <c r="R36" s="2">
        <v>96</v>
      </c>
      <c r="S36" s="2">
        <v>1.43</v>
      </c>
      <c r="T36" s="2">
        <v>0.6</v>
      </c>
      <c r="U36" s="2">
        <f>Table1[[#This Row],[Uncorrected Glu]]/$I36</f>
        <v>1.115016739559444E-3</v>
      </c>
      <c r="V36" s="2">
        <f>Table1[[#This Row],[Uncorrected OHB]]/$I36</f>
        <v>0.44600669582377761</v>
      </c>
      <c r="W36" s="2">
        <f>Table1[[#This Row],[Uncorrected FrTAG]]/$I36</f>
        <v>1.0035150656034997</v>
      </c>
      <c r="X36" s="2">
        <f>Table1[[#This Row],[Uncorrected FrApoB]]/$I36</f>
        <v>0</v>
      </c>
      <c r="Y36" s="2">
        <f>Table1[[#This Row],[Uncorrected NEFA]]/$I36</f>
        <v>10.704160699770663</v>
      </c>
      <c r="Z36" s="2">
        <f>((Table1[[#This Row],[FA]]-Table1[[#This Row],[NEFA]])/Table1[[#This Row],[FA]])*100</f>
        <v>98.661979912528665</v>
      </c>
      <c r="AA36" s="2">
        <f>Table1[[#This Row],[Uncorrected Lac]]/$I36</f>
        <v>0.15944739375700048</v>
      </c>
      <c r="AB36" s="2">
        <f>Table1[[#This Row],[Uncorrected Urea]]/$I36</f>
        <v>6.6901004373566636E-2</v>
      </c>
    </row>
    <row r="37" spans="1:28" x14ac:dyDescent="0.25">
      <c r="A37">
        <v>2</v>
      </c>
      <c r="B37">
        <v>7</v>
      </c>
      <c r="C37" t="s">
        <v>4</v>
      </c>
      <c r="D37">
        <v>800</v>
      </c>
      <c r="E37" s="2">
        <v>5.5</v>
      </c>
      <c r="F37" s="2">
        <v>0.5</v>
      </c>
      <c r="G37" s="2">
        <v>24</v>
      </c>
      <c r="H37" s="2">
        <v>8.6</v>
      </c>
      <c r="I37">
        <v>10.979391111672001</v>
      </c>
      <c r="J37" s="4">
        <v>4137.0856457647897</v>
      </c>
      <c r="K37" s="4">
        <f>Table1[[#This Row],[Uncorrected TAG]]/Table1[[#This Row],[Protein (mg/mL)]]</f>
        <v>376.80465188699992</v>
      </c>
      <c r="L37" s="9">
        <v>1554.7383881392313</v>
      </c>
      <c r="M37" s="9">
        <f>Table1[[#This Row],[Uncorrected PL]]/Table1[[#This Row],[Protein (mg/mL)]]</f>
        <v>141.60515572547698</v>
      </c>
      <c r="N37" s="2">
        <v>0</v>
      </c>
      <c r="O37" s="2">
        <v>17</v>
      </c>
      <c r="P37" s="2">
        <v>11</v>
      </c>
      <c r="Q37" s="2">
        <v>0</v>
      </c>
      <c r="R37" s="2">
        <v>115</v>
      </c>
      <c r="S37" s="2">
        <v>1.01</v>
      </c>
      <c r="T37" s="2">
        <v>0.5</v>
      </c>
      <c r="U37" s="2">
        <f>Table1[[#This Row],[Uncorrected Glu]]/$I37</f>
        <v>0</v>
      </c>
      <c r="V37" s="2">
        <f>Table1[[#This Row],[Uncorrected OHB]]/$I37</f>
        <v>1.5483554440398424</v>
      </c>
      <c r="W37" s="2">
        <f>Table1[[#This Row],[Uncorrected FrTAG]]/$I37</f>
        <v>1.0018770520257805</v>
      </c>
      <c r="X37" s="2">
        <f>Table1[[#This Row],[Uncorrected FrApoB]]/$I37</f>
        <v>0</v>
      </c>
      <c r="Y37" s="2">
        <f>Table1[[#This Row],[Uncorrected NEFA]]/$I37</f>
        <v>10.474169180269522</v>
      </c>
      <c r="Z37" s="2">
        <f>((Table1[[#This Row],[FA]]-Table1[[#This Row],[NEFA]])/Table1[[#This Row],[FA]])*100</f>
        <v>98.690728852466307</v>
      </c>
      <c r="AA37" s="2">
        <f>Table1[[#This Row],[Uncorrected Lac]]/$I37</f>
        <v>9.1990529322367107E-2</v>
      </c>
      <c r="AB37" s="2">
        <f>Table1[[#This Row],[Uncorrected Urea]]/$I37</f>
        <v>4.5539866001171832E-2</v>
      </c>
    </row>
    <row r="38" spans="1:28" x14ac:dyDescent="0.25">
      <c r="A38">
        <v>3</v>
      </c>
      <c r="B38">
        <v>7</v>
      </c>
      <c r="C38" t="s">
        <v>4</v>
      </c>
      <c r="D38">
        <v>800</v>
      </c>
      <c r="E38" s="2">
        <v>5.5</v>
      </c>
      <c r="F38" s="2">
        <v>0.5</v>
      </c>
      <c r="G38" s="2">
        <v>25</v>
      </c>
      <c r="H38" s="2">
        <v>8.6999999999999993</v>
      </c>
      <c r="I38">
        <v>7.9593942705800007</v>
      </c>
      <c r="J38" s="4">
        <v>3566.4906530172675</v>
      </c>
      <c r="K38" s="4">
        <f>Table1[[#This Row],[Uncorrected TAG]]/Table1[[#This Row],[Protein (mg/mL)]]</f>
        <v>448.08568739959873</v>
      </c>
      <c r="L38" s="9">
        <v>1413.0583442105851</v>
      </c>
      <c r="M38" s="9">
        <f>Table1[[#This Row],[Uncorrected PL]]/Table1[[#This Row],[Protein (mg/mL)]]</f>
        <v>177.53340218785462</v>
      </c>
      <c r="N38" s="2">
        <v>0.03</v>
      </c>
      <c r="O38" s="2">
        <v>11</v>
      </c>
      <c r="P38" s="2">
        <v>7</v>
      </c>
      <c r="Q38" s="2">
        <v>0</v>
      </c>
      <c r="R38" s="2">
        <v>123</v>
      </c>
      <c r="S38" s="2">
        <v>0.98</v>
      </c>
      <c r="T38" s="2">
        <v>0.6</v>
      </c>
      <c r="U38" s="2">
        <f>Table1[[#This Row],[Uncorrected Glu]]/$I38</f>
        <v>3.7691310393917579E-3</v>
      </c>
      <c r="V38" s="2">
        <f>Table1[[#This Row],[Uncorrected OHB]]/$I38</f>
        <v>1.3820147144436445</v>
      </c>
      <c r="W38" s="2">
        <f>Table1[[#This Row],[Uncorrected FrTAG]]/$I38</f>
        <v>0.87946390919141015</v>
      </c>
      <c r="X38" s="2">
        <f>Table1[[#This Row],[Uncorrected FrApoB]]/$I38</f>
        <v>0</v>
      </c>
      <c r="Y38" s="2">
        <f>Table1[[#This Row],[Uncorrected NEFA]]/$I38</f>
        <v>15.453437261506206</v>
      </c>
      <c r="Z38" s="2">
        <f>((Table1[[#This Row],[FA]]-Table1[[#This Row],[NEFA]])/Table1[[#This Row],[FA]])*100</f>
        <v>98.068320342311722</v>
      </c>
      <c r="AA38" s="2">
        <f>Table1[[#This Row],[Uncorrected Lac]]/$I38</f>
        <v>0.12312494728679742</v>
      </c>
      <c r="AB38" s="2">
        <f>Table1[[#This Row],[Uncorrected Urea]]/$I38</f>
        <v>7.5382620787835156E-2</v>
      </c>
    </row>
    <row r="39" spans="1:28" x14ac:dyDescent="0.25">
      <c r="A39">
        <v>3</v>
      </c>
      <c r="B39">
        <v>7</v>
      </c>
      <c r="C39" t="s">
        <v>4</v>
      </c>
      <c r="D39">
        <v>800</v>
      </c>
      <c r="E39" s="2">
        <v>5.5</v>
      </c>
      <c r="F39" s="2">
        <v>0.5</v>
      </c>
      <c r="G39" s="2">
        <v>26</v>
      </c>
      <c r="H39" s="2">
        <v>8.8000000000000007</v>
      </c>
      <c r="I39">
        <v>7.4828993670020001</v>
      </c>
      <c r="J39" s="4">
        <v>4182.1167791033877</v>
      </c>
      <c r="K39" s="4">
        <f>Table1[[#This Row],[Uncorrected TAG]]/Table1[[#This Row],[Protein (mg/mL)]]</f>
        <v>558.8898866588579</v>
      </c>
      <c r="L39" s="9">
        <v>1627.9728508497053</v>
      </c>
      <c r="M39" s="9">
        <f>Table1[[#This Row],[Uncorrected PL]]/Table1[[#This Row],[Protein (mg/mL)]]</f>
        <v>217.5590998896391</v>
      </c>
      <c r="N39" s="2">
        <v>0.01</v>
      </c>
      <c r="O39" s="2">
        <v>7</v>
      </c>
      <c r="P39" s="2">
        <v>9</v>
      </c>
      <c r="Q39" s="2">
        <v>0</v>
      </c>
      <c r="R39" s="2">
        <v>130</v>
      </c>
      <c r="S39" s="2">
        <v>0.95</v>
      </c>
      <c r="T39" s="2">
        <v>0.7</v>
      </c>
      <c r="U39" s="2">
        <f>Table1[[#This Row],[Uncorrected Glu]]/$I39</f>
        <v>1.3363803934204809E-3</v>
      </c>
      <c r="V39" s="2">
        <f>Table1[[#This Row],[Uncorrected OHB]]/$I39</f>
        <v>0.93546627539433658</v>
      </c>
      <c r="W39" s="2">
        <f>Table1[[#This Row],[Uncorrected FrTAG]]/$I39</f>
        <v>1.2027423540784328</v>
      </c>
      <c r="X39" s="2">
        <f>Table1[[#This Row],[Uncorrected FrApoB]]/$I39</f>
        <v>0</v>
      </c>
      <c r="Y39" s="2">
        <f>Table1[[#This Row],[Uncorrected NEFA]]/$I39</f>
        <v>17.372945114466251</v>
      </c>
      <c r="Z39" s="2">
        <f>((Table1[[#This Row],[FA]]-Table1[[#This Row],[NEFA]])/Table1[[#This Row],[FA]])*100</f>
        <v>97.828381860691721</v>
      </c>
      <c r="AA39" s="2">
        <f>Table1[[#This Row],[Uncorrected Lac]]/$I39</f>
        <v>0.12695613737494568</v>
      </c>
      <c r="AB39" s="2">
        <f>Table1[[#This Row],[Uncorrected Urea]]/$I39</f>
        <v>9.3546627539433658E-2</v>
      </c>
    </row>
    <row r="40" spans="1:28" x14ac:dyDescent="0.25">
      <c r="A40">
        <v>3</v>
      </c>
      <c r="B40">
        <v>7</v>
      </c>
      <c r="C40" t="s">
        <v>4</v>
      </c>
      <c r="D40">
        <v>800</v>
      </c>
      <c r="E40" s="2">
        <v>5.5</v>
      </c>
      <c r="F40" s="2">
        <v>0.5</v>
      </c>
      <c r="G40" s="2">
        <v>27</v>
      </c>
      <c r="H40" s="2">
        <v>8.9</v>
      </c>
      <c r="I40">
        <v>7.6550887576659994</v>
      </c>
      <c r="J40" s="4">
        <v>4273.5888181203873</v>
      </c>
      <c r="K40" s="4">
        <f>Table1[[#This Row],[Uncorrected TAG]]/Table1[[#This Row],[Protein (mg/mL)]]</f>
        <v>558.26770314592466</v>
      </c>
      <c r="L40" s="9">
        <v>1786.1180562961797</v>
      </c>
      <c r="M40" s="9">
        <f>Table1[[#This Row],[Uncorrected PL]]/Table1[[#This Row],[Protein (mg/mL)]]</f>
        <v>233.32427785471671</v>
      </c>
      <c r="N40" s="3">
        <v>0</v>
      </c>
      <c r="O40" s="2">
        <v>2</v>
      </c>
      <c r="P40" s="2">
        <v>5</v>
      </c>
      <c r="Q40" s="2">
        <v>0</v>
      </c>
      <c r="R40" s="2">
        <v>52</v>
      </c>
      <c r="S40" s="2">
        <v>3.87</v>
      </c>
      <c r="T40" s="2">
        <v>0.8</v>
      </c>
      <c r="U40" s="2">
        <f>Table1[[#This Row],[Uncorrected Glu]]/$I40</f>
        <v>0</v>
      </c>
      <c r="V40" s="2">
        <f>Table1[[#This Row],[Uncorrected OHB]]/$I40</f>
        <v>0.26126411636927782</v>
      </c>
      <c r="W40" s="2">
        <f>Table1[[#This Row],[Uncorrected FrTAG]]/$I40</f>
        <v>0.6531602909231945</v>
      </c>
      <c r="X40" s="2">
        <f>Table1[[#This Row],[Uncorrected FrApoB]]/$I40</f>
        <v>0</v>
      </c>
      <c r="Y40" s="2">
        <f>Table1[[#This Row],[Uncorrected NEFA]]/$I40</f>
        <v>6.7928670256012236</v>
      </c>
      <c r="Z40" s="2">
        <f>((Table1[[#This Row],[FA]]-Table1[[#This Row],[NEFA]])/Table1[[#This Row],[FA]])*100</f>
        <v>99.150891621799843</v>
      </c>
      <c r="AA40" s="2">
        <f>Table1[[#This Row],[Uncorrected Lac]]/$I40</f>
        <v>0.50554606517455258</v>
      </c>
      <c r="AB40" s="2">
        <f>Table1[[#This Row],[Uncorrected Urea]]/$I40</f>
        <v>0.10450564654771113</v>
      </c>
    </row>
    <row r="41" spans="1:28" x14ac:dyDescent="0.25">
      <c r="A41">
        <v>4</v>
      </c>
      <c r="B41">
        <v>7</v>
      </c>
      <c r="C41" t="s">
        <v>4</v>
      </c>
      <c r="D41">
        <v>800</v>
      </c>
      <c r="E41" s="2">
        <v>5.5</v>
      </c>
      <c r="F41" s="2">
        <v>0.5</v>
      </c>
      <c r="H41" s="2">
        <v>7</v>
      </c>
      <c r="J41" s="2"/>
      <c r="K41" s="6" t="e">
        <f>Table1[[#This Row],[Uncorrected TAG]]/Table1[[#This Row],[Protein (mg/mL)]]</f>
        <v>#DIV/0!</v>
      </c>
      <c r="N41" s="3">
        <v>0.03</v>
      </c>
      <c r="O41" s="2">
        <v>3</v>
      </c>
      <c r="P41" s="2">
        <v>18</v>
      </c>
      <c r="Q41" s="2">
        <v>0</v>
      </c>
      <c r="R41" s="2">
        <v>149</v>
      </c>
      <c r="S41" s="2">
        <v>2.79</v>
      </c>
      <c r="T41" s="2">
        <v>0.4</v>
      </c>
      <c r="U41" s="2" t="e">
        <f>Table1[[#This Row],[Uncorrected Glu]]/$I41</f>
        <v>#DIV/0!</v>
      </c>
      <c r="V41" s="2" t="e">
        <f>Table1[[#This Row],[Uncorrected OHB]]/$I41</f>
        <v>#DIV/0!</v>
      </c>
      <c r="W41" s="2" t="e">
        <f>Table1[[#This Row],[Uncorrected FrTAG]]/$I41</f>
        <v>#DIV/0!</v>
      </c>
      <c r="X41" s="2" t="e">
        <f>Table1[[#This Row],[Uncorrected FrApoB]]/$I41</f>
        <v>#DIV/0!</v>
      </c>
      <c r="Y41" s="2" t="e">
        <f>Table1[[#This Row],[Uncorrected NEFA]]/$I41</f>
        <v>#DIV/0!</v>
      </c>
      <c r="Z41" s="2" t="e">
        <f>((Table1[[#This Row],[FA]]-Table1[[#This Row],[NEFA]])/Table1[[#This Row],[FA]])*100</f>
        <v>#DIV/0!</v>
      </c>
      <c r="AA41" s="2" t="e">
        <f>Table1[[#This Row],[Uncorrected Lac]]/$I41</f>
        <v>#DIV/0!</v>
      </c>
      <c r="AB41" s="2" t="e">
        <f>Table1[[#This Row],[Uncorrected Urea]]/$I41</f>
        <v>#DIV/0!</v>
      </c>
    </row>
    <row r="42" spans="1:28" x14ac:dyDescent="0.25">
      <c r="A42">
        <v>4</v>
      </c>
      <c r="B42">
        <v>7</v>
      </c>
      <c r="C42" t="s">
        <v>4</v>
      </c>
      <c r="D42">
        <v>800</v>
      </c>
      <c r="E42" s="2">
        <v>5.5</v>
      </c>
      <c r="F42" s="2">
        <v>0.5</v>
      </c>
      <c r="H42" s="2">
        <v>8</v>
      </c>
      <c r="J42" s="2"/>
      <c r="K42" s="6" t="e">
        <f>Table1[[#This Row],[Uncorrected TAG]]/Table1[[#This Row],[Protein (mg/mL)]]</f>
        <v>#DIV/0!</v>
      </c>
      <c r="N42" s="3">
        <v>0</v>
      </c>
      <c r="O42" s="2">
        <v>5</v>
      </c>
      <c r="P42" s="2">
        <v>18</v>
      </c>
      <c r="Q42" s="2">
        <v>0</v>
      </c>
      <c r="R42" s="2">
        <v>139</v>
      </c>
      <c r="S42" s="2">
        <v>2.5299999999999998</v>
      </c>
      <c r="T42" s="2">
        <v>0.7</v>
      </c>
      <c r="U42" s="2" t="e">
        <f>Table1[[#This Row],[Uncorrected Glu]]/$I42</f>
        <v>#DIV/0!</v>
      </c>
      <c r="V42" s="2" t="e">
        <f>Table1[[#This Row],[Uncorrected OHB]]/$I42</f>
        <v>#DIV/0!</v>
      </c>
      <c r="W42" s="2" t="e">
        <f>Table1[[#This Row],[Uncorrected FrTAG]]/$I42</f>
        <v>#DIV/0!</v>
      </c>
      <c r="X42" s="2" t="e">
        <f>Table1[[#This Row],[Uncorrected FrApoB]]/$I42</f>
        <v>#DIV/0!</v>
      </c>
      <c r="Y42" s="2" t="e">
        <f>Table1[[#This Row],[Uncorrected NEFA]]/$I42</f>
        <v>#DIV/0!</v>
      </c>
      <c r="Z42" s="2" t="e">
        <f>((Table1[[#This Row],[FA]]-Table1[[#This Row],[NEFA]])/Table1[[#This Row],[FA]])*100</f>
        <v>#DIV/0!</v>
      </c>
      <c r="AA42" s="2" t="e">
        <f>Table1[[#This Row],[Uncorrected Lac]]/$I42</f>
        <v>#DIV/0!</v>
      </c>
      <c r="AB42" s="2" t="e">
        <f>Table1[[#This Row],[Uncorrected Urea]]/$I42</f>
        <v>#DIV/0!</v>
      </c>
    </row>
    <row r="43" spans="1:28" x14ac:dyDescent="0.25">
      <c r="A43">
        <v>4</v>
      </c>
      <c r="B43">
        <v>7</v>
      </c>
      <c r="C43" t="s">
        <v>4</v>
      </c>
      <c r="D43">
        <v>800</v>
      </c>
      <c r="E43" s="2">
        <v>5.5</v>
      </c>
      <c r="F43" s="2">
        <v>0.5</v>
      </c>
      <c r="H43" s="2">
        <v>9</v>
      </c>
      <c r="K43" s="6" t="e">
        <f>Table1[[#This Row],[Uncorrected TAG]]/Table1[[#This Row],[Protein (mg/mL)]]</f>
        <v>#DIV/0!</v>
      </c>
      <c r="N43" s="3">
        <v>0.06</v>
      </c>
      <c r="O43" s="2">
        <v>14</v>
      </c>
      <c r="P43" s="2">
        <v>10</v>
      </c>
      <c r="Q43" s="2">
        <v>0</v>
      </c>
      <c r="R43" s="2">
        <v>65</v>
      </c>
      <c r="S43" s="2">
        <v>4.55</v>
      </c>
      <c r="T43" s="2">
        <v>0.4</v>
      </c>
      <c r="U43" s="2" t="e">
        <f>Table1[[#This Row],[Uncorrected Glu]]/$I43</f>
        <v>#DIV/0!</v>
      </c>
      <c r="V43" s="2" t="e">
        <f>Table1[[#This Row],[Uncorrected OHB]]/$I43</f>
        <v>#DIV/0!</v>
      </c>
      <c r="W43" s="2" t="e">
        <f>Table1[[#This Row],[Uncorrected FrTAG]]/$I43</f>
        <v>#DIV/0!</v>
      </c>
      <c r="X43" s="2" t="e">
        <f>Table1[[#This Row],[Uncorrected FrApoB]]/$I43</f>
        <v>#DIV/0!</v>
      </c>
      <c r="Y43" s="2" t="e">
        <f>Table1[[#This Row],[Uncorrected NEFA]]/$I43</f>
        <v>#DIV/0!</v>
      </c>
      <c r="Z43" s="2" t="e">
        <f>((Table1[[#This Row],[FA]]-Table1[[#This Row],[NEFA]])/Table1[[#This Row],[FA]])*100</f>
        <v>#DIV/0!</v>
      </c>
      <c r="AA43" s="2" t="e">
        <f>Table1[[#This Row],[Uncorrected Lac]]/$I43</f>
        <v>#DIV/0!</v>
      </c>
      <c r="AB43" s="2" t="e">
        <f>Table1[[#This Row],[Uncorrected Urea]]/$I43</f>
        <v>#DIV/0!</v>
      </c>
    </row>
    <row r="44" spans="1:28" x14ac:dyDescent="0.25">
      <c r="A44">
        <v>5</v>
      </c>
      <c r="B44">
        <v>7</v>
      </c>
      <c r="C44" t="s">
        <v>4</v>
      </c>
      <c r="D44">
        <v>800</v>
      </c>
      <c r="E44" s="2">
        <v>5.5</v>
      </c>
      <c r="F44" s="2">
        <v>0.5</v>
      </c>
      <c r="H44" s="2">
        <v>16</v>
      </c>
      <c r="K44" s="6" t="e">
        <f>Table1[[#This Row],[Uncorrected TAG]]/Table1[[#This Row],[Protein (mg/mL)]]</f>
        <v>#DIV/0!</v>
      </c>
      <c r="N44" s="3">
        <v>0.09</v>
      </c>
      <c r="O44" s="2">
        <v>0</v>
      </c>
      <c r="P44" s="2">
        <v>29</v>
      </c>
      <c r="Q44" s="2">
        <v>0</v>
      </c>
      <c r="R44" s="2">
        <v>294</v>
      </c>
      <c r="S44" s="2">
        <v>5.97</v>
      </c>
      <c r="T44" s="2">
        <v>0.5</v>
      </c>
      <c r="U44" s="2" t="e">
        <f>Table1[[#This Row],[Uncorrected Glu]]/$I44</f>
        <v>#DIV/0!</v>
      </c>
      <c r="V44" s="2" t="e">
        <f>Table1[[#This Row],[Uncorrected OHB]]/$I44</f>
        <v>#DIV/0!</v>
      </c>
      <c r="W44" s="2" t="e">
        <f>Table1[[#This Row],[Uncorrected FrTAG]]/$I44</f>
        <v>#DIV/0!</v>
      </c>
      <c r="X44" s="2" t="e">
        <f>Table1[[#This Row],[Uncorrected FrApoB]]/$I44</f>
        <v>#DIV/0!</v>
      </c>
      <c r="Y44" s="2" t="e">
        <f>Table1[[#This Row],[Uncorrected NEFA]]/$I44</f>
        <v>#DIV/0!</v>
      </c>
      <c r="Z44" s="2" t="e">
        <f>((Table1[[#This Row],[FA]]-Table1[[#This Row],[NEFA]])/Table1[[#This Row],[FA]])*100</f>
        <v>#DIV/0!</v>
      </c>
      <c r="AA44" s="2" t="e">
        <f>Table1[[#This Row],[Uncorrected Lac]]/$I44</f>
        <v>#DIV/0!</v>
      </c>
      <c r="AB44" s="2" t="e">
        <f>Table1[[#This Row],[Uncorrected Urea]]/$I44</f>
        <v>#DIV/0!</v>
      </c>
    </row>
    <row r="45" spans="1:28" x14ac:dyDescent="0.25">
      <c r="A45">
        <v>5</v>
      </c>
      <c r="B45">
        <v>7</v>
      </c>
      <c r="C45" t="s">
        <v>4</v>
      </c>
      <c r="D45">
        <v>800</v>
      </c>
      <c r="E45" s="2">
        <v>5.5</v>
      </c>
      <c r="F45" s="2">
        <v>0.5</v>
      </c>
      <c r="H45" s="2">
        <v>17</v>
      </c>
      <c r="K45" s="6" t="e">
        <f>Table1[[#This Row],[Uncorrected TAG]]/Table1[[#This Row],[Protein (mg/mL)]]</f>
        <v>#DIV/0!</v>
      </c>
      <c r="N45" s="3">
        <v>0.03</v>
      </c>
      <c r="O45" s="2">
        <v>0</v>
      </c>
      <c r="P45" s="2">
        <v>23</v>
      </c>
      <c r="Q45" s="2">
        <v>0</v>
      </c>
      <c r="R45" s="2">
        <v>166</v>
      </c>
      <c r="S45" s="2">
        <v>4.01</v>
      </c>
      <c r="T45" s="2">
        <v>0.4</v>
      </c>
      <c r="U45" s="2" t="e">
        <f>Table1[[#This Row],[Uncorrected Glu]]/$I45</f>
        <v>#DIV/0!</v>
      </c>
      <c r="V45" s="2" t="e">
        <f>Table1[[#This Row],[Uncorrected OHB]]/$I45</f>
        <v>#DIV/0!</v>
      </c>
      <c r="W45" s="2" t="e">
        <f>Table1[[#This Row],[Uncorrected FrTAG]]/$I45</f>
        <v>#DIV/0!</v>
      </c>
      <c r="X45" s="2" t="e">
        <f>Table1[[#This Row],[Uncorrected FrApoB]]/$I45</f>
        <v>#DIV/0!</v>
      </c>
      <c r="Y45" s="2" t="e">
        <f>Table1[[#This Row],[Uncorrected NEFA]]/$I45</f>
        <v>#DIV/0!</v>
      </c>
      <c r="Z45" s="2" t="e">
        <f>((Table1[[#This Row],[FA]]-Table1[[#This Row],[NEFA]])/Table1[[#This Row],[FA]])*100</f>
        <v>#DIV/0!</v>
      </c>
      <c r="AA45" s="2" t="e">
        <f>Table1[[#This Row],[Uncorrected Lac]]/$I45</f>
        <v>#DIV/0!</v>
      </c>
      <c r="AB45" s="2" t="e">
        <f>Table1[[#This Row],[Uncorrected Urea]]/$I45</f>
        <v>#DIV/0!</v>
      </c>
    </row>
    <row r="46" spans="1:28" x14ac:dyDescent="0.25">
      <c r="A46">
        <v>5</v>
      </c>
      <c r="B46">
        <v>7</v>
      </c>
      <c r="C46" t="s">
        <v>4</v>
      </c>
      <c r="D46">
        <v>800</v>
      </c>
      <c r="E46" s="2">
        <v>5.5</v>
      </c>
      <c r="F46" s="2">
        <v>0.5</v>
      </c>
      <c r="H46" s="2">
        <v>18</v>
      </c>
      <c r="K46" s="6" t="e">
        <f>Table1[[#This Row],[Uncorrected TAG]]/Table1[[#This Row],[Protein (mg/mL)]]</f>
        <v>#DIV/0!</v>
      </c>
      <c r="U46" s="2" t="e">
        <f>Table1[[#This Row],[Uncorrected Glu]]/$I46</f>
        <v>#DIV/0!</v>
      </c>
      <c r="V46" s="2" t="e">
        <f>Table1[[#This Row],[Uncorrected OHB]]/$I46</f>
        <v>#DIV/0!</v>
      </c>
      <c r="W46" s="2" t="e">
        <f>Table1[[#This Row],[Uncorrected FrTAG]]/$I46</f>
        <v>#DIV/0!</v>
      </c>
      <c r="X46" s="2" t="e">
        <f>Table1[[#This Row],[Uncorrected FrApoB]]/$I46</f>
        <v>#DIV/0!</v>
      </c>
      <c r="Y46" s="2" t="e">
        <f>Table1[[#This Row],[Uncorrected NEFA]]/$I46</f>
        <v>#DIV/0!</v>
      </c>
      <c r="Z46" s="2" t="e">
        <f>((Table1[[#This Row],[FA]]-Table1[[#This Row],[NEFA]])/Table1[[#This Row],[FA]])*100</f>
        <v>#DIV/0!</v>
      </c>
      <c r="AA46" s="2" t="e">
        <f>Table1[[#This Row],[Uncorrected Lac]]/$I46</f>
        <v>#DIV/0!</v>
      </c>
      <c r="AB46" s="2" t="e">
        <f>Table1[[#This Row],[Uncorrected Urea]]/$I46</f>
        <v>#DIV/0!</v>
      </c>
    </row>
  </sheetData>
  <phoneticPr fontId="1" type="noConversion"/>
  <conditionalFormatting sqref="N1:T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D4A59-B881-4168-9DB2-51EFAE05811B}">
  <dimension ref="A1:AM46"/>
  <sheetViews>
    <sheetView topLeftCell="R1" workbookViewId="0">
      <selection activeCell="R10" sqref="R10"/>
    </sheetView>
  </sheetViews>
  <sheetFormatPr defaultRowHeight="15" x14ac:dyDescent="0.25"/>
  <cols>
    <col min="1" max="1" width="9.140625" style="2"/>
    <col min="2" max="2" width="24.7109375" style="2" customWidth="1"/>
    <col min="3" max="3" width="11.7109375" style="2" customWidth="1"/>
    <col min="4" max="4" width="22.28515625" style="2" customWidth="1"/>
    <col min="5" max="5" width="15.7109375" style="2" customWidth="1"/>
    <col min="6" max="6" width="14" style="2" customWidth="1"/>
    <col min="7" max="7" width="17.42578125" style="2" customWidth="1"/>
    <col min="8" max="8" width="13.28515625" style="2" customWidth="1"/>
    <col min="9" max="9" width="17.7109375" style="2" customWidth="1"/>
    <col min="10" max="10" width="16" style="2" customWidth="1"/>
    <col min="11" max="11" width="14.28515625" style="2" customWidth="1"/>
    <col min="12" max="14" width="9.140625" style="2"/>
    <col min="15" max="15" width="9.5703125" style="2" customWidth="1"/>
    <col min="16" max="16" width="9.140625" style="2"/>
    <col min="17" max="17" width="13.5703125" style="2" customWidth="1"/>
    <col min="18" max="21" width="9.140625" style="2"/>
    <col min="22" max="22" width="24.7109375" style="2" customWidth="1"/>
    <col min="23" max="23" width="9.7109375" style="2" customWidth="1"/>
    <col min="24" max="24" width="9.140625" style="2"/>
    <col min="25" max="25" width="15.7109375" style="2" customWidth="1"/>
    <col min="26" max="26" width="14" style="2" customWidth="1"/>
    <col min="27" max="27" width="17.42578125" style="2" customWidth="1"/>
    <col min="28" max="28" width="12" style="2" customWidth="1"/>
    <col min="29" max="29" width="17.7109375" style="2" customWidth="1"/>
    <col min="30" max="30" width="16" style="2" customWidth="1"/>
    <col min="31" max="31" width="10.42578125" style="2" customWidth="1"/>
    <col min="32" max="36" width="9.140625" style="2"/>
    <col min="37" max="37" width="12.85546875" style="2" customWidth="1"/>
    <col min="38" max="16384" width="9.140625" style="2"/>
  </cols>
  <sheetData>
    <row r="1" spans="1:39" s="1" customFormat="1" ht="30" x14ac:dyDescent="0.25">
      <c r="A1" s="1" t="s">
        <v>0</v>
      </c>
      <c r="B1" s="1" t="s">
        <v>5</v>
      </c>
      <c r="C1" s="1" t="s">
        <v>3</v>
      </c>
      <c r="D1" s="1" t="s">
        <v>7</v>
      </c>
      <c r="E1" s="1" t="s">
        <v>1</v>
      </c>
      <c r="F1" s="1" t="s">
        <v>2</v>
      </c>
      <c r="G1" s="1" t="s">
        <v>20</v>
      </c>
      <c r="H1" s="1" t="s">
        <v>8</v>
      </c>
      <c r="I1" s="1" t="s">
        <v>6</v>
      </c>
      <c r="J1" s="1" t="s">
        <v>19</v>
      </c>
      <c r="K1" s="1" t="s">
        <v>22</v>
      </c>
      <c r="L1" s="1" t="s">
        <v>10</v>
      </c>
      <c r="M1" s="1" t="s">
        <v>16</v>
      </c>
      <c r="N1" s="1" t="s">
        <v>11</v>
      </c>
      <c r="O1" s="1" t="s">
        <v>12</v>
      </c>
      <c r="P1" s="1" t="s">
        <v>13</v>
      </c>
      <c r="Q1" s="1" t="s">
        <v>33</v>
      </c>
      <c r="R1" s="1" t="s">
        <v>14</v>
      </c>
      <c r="S1" s="1" t="s">
        <v>15</v>
      </c>
      <c r="U1" s="7" t="s">
        <v>0</v>
      </c>
      <c r="V1" s="8" t="s">
        <v>5</v>
      </c>
      <c r="W1" s="8" t="s">
        <v>3</v>
      </c>
      <c r="X1" s="8" t="s">
        <v>7</v>
      </c>
      <c r="Y1" s="8" t="s">
        <v>1</v>
      </c>
      <c r="Z1" s="8" t="s">
        <v>2</v>
      </c>
      <c r="AA1" s="8" t="s">
        <v>20</v>
      </c>
      <c r="AB1" s="8" t="s">
        <v>8</v>
      </c>
      <c r="AC1" s="8" t="s">
        <v>6</v>
      </c>
      <c r="AD1" s="8" t="s">
        <v>19</v>
      </c>
      <c r="AE1" s="8" t="s">
        <v>22</v>
      </c>
      <c r="AF1" s="8" t="s">
        <v>10</v>
      </c>
      <c r="AG1" s="8" t="s">
        <v>16</v>
      </c>
      <c r="AH1" s="8" t="s">
        <v>11</v>
      </c>
      <c r="AI1" s="8" t="s">
        <v>12</v>
      </c>
      <c r="AJ1" s="8" t="s">
        <v>13</v>
      </c>
      <c r="AK1" s="8" t="s">
        <v>33</v>
      </c>
      <c r="AL1" s="8" t="s">
        <v>14</v>
      </c>
      <c r="AM1" s="8" t="s">
        <v>15</v>
      </c>
    </row>
    <row r="2" spans="1:39" x14ac:dyDescent="0.25">
      <c r="A2" s="2">
        <v>1</v>
      </c>
      <c r="B2" s="2">
        <v>7</v>
      </c>
      <c r="C2" s="2" t="s">
        <v>4</v>
      </c>
      <c r="D2" s="2">
        <v>0</v>
      </c>
      <c r="E2" s="2">
        <v>5.5</v>
      </c>
      <c r="F2" s="2">
        <v>0.5</v>
      </c>
      <c r="G2" s="2">
        <v>1</v>
      </c>
      <c r="H2" s="2">
        <v>0.1</v>
      </c>
      <c r="I2" s="2">
        <v>5.4894677647840009</v>
      </c>
      <c r="J2" s="5">
        <v>30.363084302235038</v>
      </c>
      <c r="K2" s="2">
        <v>209.28648510144754</v>
      </c>
      <c r="L2" s="2">
        <v>0</v>
      </c>
      <c r="M2" s="2">
        <v>0.91083511448522725</v>
      </c>
      <c r="P2" s="2">
        <v>9.8370192364404545</v>
      </c>
      <c r="Q2" s="2" t="e">
        <v>#DIV/0!</v>
      </c>
      <c r="R2" s="2">
        <v>0.58111280304157498</v>
      </c>
      <c r="U2" s="2">
        <f t="shared" ref="U2:AE2" si="0">AVERAGE(A2:A4)</f>
        <v>1</v>
      </c>
      <c r="V2" s="2">
        <f t="shared" si="0"/>
        <v>7</v>
      </c>
      <c r="W2" s="2" t="e">
        <f t="shared" si="0"/>
        <v>#DIV/0!</v>
      </c>
      <c r="X2" s="2">
        <f t="shared" si="0"/>
        <v>0</v>
      </c>
      <c r="Y2" s="2">
        <f t="shared" si="0"/>
        <v>5.5</v>
      </c>
      <c r="Z2" s="2">
        <f t="shared" si="0"/>
        <v>0.5</v>
      </c>
      <c r="AA2" s="2">
        <f t="shared" si="0"/>
        <v>2</v>
      </c>
      <c r="AB2" s="2">
        <f t="shared" si="0"/>
        <v>0.20000000000000004</v>
      </c>
      <c r="AC2" s="2">
        <f t="shared" si="0"/>
        <v>4.651602632847001</v>
      </c>
      <c r="AD2" s="2">
        <f t="shared" si="0"/>
        <v>33.152487598365759</v>
      </c>
      <c r="AE2" s="2">
        <f t="shared" si="0"/>
        <v>232.26307745953386</v>
      </c>
      <c r="AF2" s="2">
        <f t="shared" ref="AF2" si="1">AVERAGE(L2:L4)</f>
        <v>0</v>
      </c>
      <c r="AG2" s="2">
        <f t="shared" ref="AG2" si="2">AVERAGE(M2:M4)</f>
        <v>1.8560415966991333</v>
      </c>
      <c r="AH2" s="2">
        <f t="shared" ref="AH2" si="3">AVERAGE(N2:N4)</f>
        <v>1.7752229120198224</v>
      </c>
      <c r="AI2" s="2">
        <f t="shared" ref="AI2" si="4">AVERAGE(O2:O4)</f>
        <v>0</v>
      </c>
      <c r="AJ2" s="2">
        <f t="shared" ref="AJ2:AK2" si="5">AVERAGE(P2:P4)</f>
        <v>11.868534634571217</v>
      </c>
      <c r="AK2" s="2" t="e">
        <f t="shared" si="5"/>
        <v>#DIV/0!</v>
      </c>
      <c r="AL2" s="2">
        <f t="shared" ref="AL2" si="6">AVERAGE(R2:R4)</f>
        <v>0.78520715608171177</v>
      </c>
      <c r="AM2" s="2">
        <f>AVERAGE(S2:S4)</f>
        <v>0.2011586091203158</v>
      </c>
    </row>
    <row r="3" spans="1:39" x14ac:dyDescent="0.25">
      <c r="A3" s="2">
        <v>1</v>
      </c>
      <c r="B3" s="2">
        <v>7</v>
      </c>
      <c r="C3" s="2" t="s">
        <v>4</v>
      </c>
      <c r="D3" s="2">
        <v>0</v>
      </c>
      <c r="E3" s="2">
        <v>5.5</v>
      </c>
      <c r="F3" s="2">
        <v>0.5</v>
      </c>
      <c r="G3" s="2">
        <v>2</v>
      </c>
      <c r="H3" s="2">
        <v>0.2</v>
      </c>
      <c r="I3" s="2">
        <v>4.1431660166439999</v>
      </c>
      <c r="J3" s="5">
        <v>34.571089936085926</v>
      </c>
      <c r="K3" s="2">
        <v>250.5072653456694</v>
      </c>
      <c r="L3" s="2">
        <v>0</v>
      </c>
      <c r="M3" s="2">
        <v>0.72408394641883689</v>
      </c>
      <c r="N3" s="2">
        <v>1.9308905237835652</v>
      </c>
      <c r="O3" s="2">
        <v>0</v>
      </c>
      <c r="P3" s="2">
        <v>13.274872351012011</v>
      </c>
      <c r="Q3" s="2" t="e">
        <v>#DIV/0!</v>
      </c>
      <c r="R3" s="2">
        <v>1.004063072367454</v>
      </c>
      <c r="S3" s="2">
        <v>0.21722518392565107</v>
      </c>
      <c r="U3" s="2">
        <f t="shared" ref="U3:AE3" si="7">AVERAGE(A5:A7)</f>
        <v>2</v>
      </c>
      <c r="V3" s="2">
        <f t="shared" si="7"/>
        <v>7</v>
      </c>
      <c r="W3" s="2" t="e">
        <f t="shared" si="7"/>
        <v>#DIV/0!</v>
      </c>
      <c r="X3" s="2">
        <f t="shared" si="7"/>
        <v>0</v>
      </c>
      <c r="Y3" s="2">
        <f t="shared" si="7"/>
        <v>5.5</v>
      </c>
      <c r="Z3" s="2">
        <f t="shared" si="7"/>
        <v>0.5</v>
      </c>
      <c r="AA3" s="2">
        <f t="shared" si="7"/>
        <v>11</v>
      </c>
      <c r="AB3" s="2">
        <f t="shared" si="7"/>
        <v>0.5</v>
      </c>
      <c r="AC3" s="2">
        <f t="shared" si="7"/>
        <v>6.5512307370460006</v>
      </c>
      <c r="AD3" s="2">
        <f t="shared" si="7"/>
        <v>14.929304248129696</v>
      </c>
      <c r="AE3" s="2">
        <f t="shared" si="7"/>
        <v>209.15794609758487</v>
      </c>
      <c r="AF3" s="2">
        <f t="shared" ref="AF3" si="8">AVERAGE(L5:L7)</f>
        <v>0</v>
      </c>
      <c r="AG3" s="2">
        <f t="shared" ref="AG3" si="9">AVERAGE(M5:M7)</f>
        <v>0.99460872241072418</v>
      </c>
      <c r="AH3" s="2">
        <f t="shared" ref="AH3" si="10">AVERAGE(N5:N7)</f>
        <v>0.96963106886492556</v>
      </c>
      <c r="AI3" s="2">
        <f t="shared" ref="AI3" si="11">AVERAGE(O5:O7)</f>
        <v>0</v>
      </c>
      <c r="AJ3" s="2">
        <f t="shared" ref="AJ3:AK3" si="12">AVERAGE(P5:P7)</f>
        <v>8.4572341038460213</v>
      </c>
      <c r="AK3" s="2" t="e">
        <f t="shared" si="12"/>
        <v>#DIV/0!</v>
      </c>
      <c r="AL3" s="2">
        <f t="shared" ref="AL3" si="13">AVERAGE(R5:R7)</f>
        <v>0.49182461528781057</v>
      </c>
      <c r="AM3" s="2">
        <f>AVERAGE(S5:S7)</f>
        <v>0.14205188408336342</v>
      </c>
    </row>
    <row r="4" spans="1:39" x14ac:dyDescent="0.25">
      <c r="A4" s="2">
        <v>1</v>
      </c>
      <c r="B4" s="2">
        <v>7</v>
      </c>
      <c r="C4" s="2" t="s">
        <v>4</v>
      </c>
      <c r="D4" s="2">
        <v>0</v>
      </c>
      <c r="E4" s="2">
        <v>5.5</v>
      </c>
      <c r="F4" s="2">
        <v>0.5</v>
      </c>
      <c r="G4" s="2">
        <v>3</v>
      </c>
      <c r="H4" s="2">
        <v>0.3</v>
      </c>
      <c r="I4" s="2">
        <v>4.3221741171129997</v>
      </c>
      <c r="J4" s="5">
        <v>34.523288556776329</v>
      </c>
      <c r="K4" s="2">
        <v>236.99548193148459</v>
      </c>
      <c r="L4" s="2">
        <v>0</v>
      </c>
      <c r="M4" s="2">
        <v>3.933205729193336</v>
      </c>
      <c r="N4" s="2">
        <v>1.6195553002560796</v>
      </c>
      <c r="O4" s="2">
        <v>0</v>
      </c>
      <c r="P4" s="2">
        <v>12.493712316261185</v>
      </c>
      <c r="Q4" s="2" t="e">
        <v>#DIV/0!</v>
      </c>
      <c r="R4" s="2">
        <v>0.77044559283610647</v>
      </c>
      <c r="S4" s="2">
        <v>0.18509203431498053</v>
      </c>
      <c r="U4" s="2">
        <f t="shared" ref="U4:AE4" si="14">AVERAGE(A8:A10)</f>
        <v>3</v>
      </c>
      <c r="V4" s="2">
        <f t="shared" si="14"/>
        <v>7</v>
      </c>
      <c r="W4" s="2" t="e">
        <f t="shared" si="14"/>
        <v>#DIV/0!</v>
      </c>
      <c r="X4" s="2">
        <f t="shared" si="14"/>
        <v>0</v>
      </c>
      <c r="Y4" s="2">
        <f t="shared" si="14"/>
        <v>5.5</v>
      </c>
      <c r="Z4" s="2">
        <f t="shared" si="14"/>
        <v>0.5</v>
      </c>
      <c r="AA4" s="2">
        <f t="shared" si="14"/>
        <v>14</v>
      </c>
      <c r="AB4" s="2">
        <f t="shared" si="14"/>
        <v>0.79999999999999993</v>
      </c>
      <c r="AC4" s="2">
        <f t="shared" si="14"/>
        <v>5.3013647952086655</v>
      </c>
      <c r="AD4" s="2">
        <f t="shared" si="14"/>
        <v>7.4113219173045657</v>
      </c>
      <c r="AE4" s="2">
        <f t="shared" si="14"/>
        <v>230.68470725027785</v>
      </c>
      <c r="AF4" s="2">
        <f t="shared" ref="AF4" si="15">AVERAGE(L8:L10)</f>
        <v>0</v>
      </c>
      <c r="AG4" s="2">
        <f t="shared" ref="AG4" si="16">AVERAGE(M8:M10)</f>
        <v>5.8191877022713863</v>
      </c>
      <c r="AH4" s="2">
        <f t="shared" ref="AH4" si="17">AVERAGE(N8:N10)</f>
        <v>1.4516083451972861</v>
      </c>
      <c r="AI4" s="2">
        <f t="shared" ref="AI4" si="18">AVERAGE(O8:O10)</f>
        <v>0</v>
      </c>
      <c r="AJ4" s="2">
        <f t="shared" ref="AJ4:AK4" si="19">AVERAGE(P8:P10)</f>
        <v>11.56806894074974</v>
      </c>
      <c r="AK4" s="2" t="e">
        <f t="shared" si="19"/>
        <v>#DIV/0!</v>
      </c>
      <c r="AL4" s="2">
        <f t="shared" ref="AL4" si="20">AVERAGE(R8:R10)</f>
        <v>0.64274202617518561</v>
      </c>
      <c r="AM4" s="2">
        <f>AVERAGE(S8:S10)</f>
        <v>0.165487642461425</v>
      </c>
    </row>
    <row r="5" spans="1:39" x14ac:dyDescent="0.25">
      <c r="A5" s="2">
        <v>2</v>
      </c>
      <c r="B5" s="2">
        <v>7</v>
      </c>
      <c r="C5" s="2" t="s">
        <v>4</v>
      </c>
      <c r="D5" s="2">
        <v>0</v>
      </c>
      <c r="E5" s="2">
        <v>5.5</v>
      </c>
      <c r="F5" s="2">
        <v>0.5</v>
      </c>
      <c r="G5" s="2">
        <v>10</v>
      </c>
      <c r="H5" s="2">
        <v>0.4</v>
      </c>
      <c r="I5" s="2">
        <v>7.9665039685999997</v>
      </c>
      <c r="J5" s="4">
        <v>8.8327584843817348</v>
      </c>
      <c r="K5" s="2">
        <v>155.68183434729931</v>
      </c>
      <c r="L5" s="2">
        <v>0</v>
      </c>
      <c r="M5" s="2">
        <v>1.2552557607973374</v>
      </c>
      <c r="N5" s="2">
        <v>0.87867903255813617</v>
      </c>
      <c r="O5" s="2">
        <v>0</v>
      </c>
      <c r="P5" s="2">
        <v>6.9039066843853556</v>
      </c>
      <c r="Q5" s="2" t="e">
        <v>#DIV/0!</v>
      </c>
      <c r="R5" s="2">
        <v>0.40544761073753999</v>
      </c>
      <c r="S5" s="2">
        <v>0.10042046086378699</v>
      </c>
      <c r="U5" s="2">
        <f t="shared" ref="U5:AE5" si="21">AVERAGE(A11:A13)</f>
        <v>4</v>
      </c>
      <c r="V5" s="2">
        <f t="shared" si="21"/>
        <v>7</v>
      </c>
      <c r="W5" s="2" t="e">
        <f t="shared" si="21"/>
        <v>#DIV/0!</v>
      </c>
      <c r="X5" s="2">
        <f t="shared" si="21"/>
        <v>0</v>
      </c>
      <c r="Y5" s="2">
        <f t="shared" si="21"/>
        <v>5.5</v>
      </c>
      <c r="Z5" s="2">
        <f t="shared" si="21"/>
        <v>0.5</v>
      </c>
      <c r="AA5" s="2" t="e">
        <f t="shared" si="21"/>
        <v>#DIV/0!</v>
      </c>
      <c r="AB5" s="2">
        <f t="shared" si="21"/>
        <v>2</v>
      </c>
      <c r="AC5" s="2" t="e">
        <f t="shared" si="21"/>
        <v>#DIV/0!</v>
      </c>
      <c r="AD5" s="2" t="e">
        <f t="shared" si="21"/>
        <v>#DIV/0!</v>
      </c>
      <c r="AE5" s="2" t="e">
        <f t="shared" si="21"/>
        <v>#DIV/0!</v>
      </c>
      <c r="AF5" s="2" t="e">
        <f t="shared" ref="AF5" si="22">AVERAGE(L11:L13)</f>
        <v>#DIV/0!</v>
      </c>
      <c r="AG5" s="2" t="e">
        <f t="shared" ref="AG5" si="23">AVERAGE(M11:M13)</f>
        <v>#DIV/0!</v>
      </c>
      <c r="AH5" s="2" t="e">
        <f t="shared" ref="AH5" si="24">AVERAGE(N11:N13)</f>
        <v>#DIV/0!</v>
      </c>
      <c r="AI5" s="2" t="e">
        <f t="shared" ref="AI5" si="25">AVERAGE(O11:O13)</f>
        <v>#DIV/0!</v>
      </c>
      <c r="AJ5" s="2" t="e">
        <f t="shared" ref="AJ5:AK5" si="26">AVERAGE(P11:P13)</f>
        <v>#DIV/0!</v>
      </c>
      <c r="AK5" s="2" t="e">
        <f t="shared" si="26"/>
        <v>#DIV/0!</v>
      </c>
      <c r="AL5" s="2" t="e">
        <f t="shared" ref="AL5" si="27">AVERAGE(R11:R13)</f>
        <v>#DIV/0!</v>
      </c>
      <c r="AM5" s="2" t="e">
        <f>AVERAGE(S11:S13)</f>
        <v>#DIV/0!</v>
      </c>
    </row>
    <row r="6" spans="1:39" x14ac:dyDescent="0.25">
      <c r="A6" s="2">
        <v>2</v>
      </c>
      <c r="B6" s="2">
        <v>7</v>
      </c>
      <c r="C6" s="2" t="s">
        <v>4</v>
      </c>
      <c r="D6" s="2">
        <v>0</v>
      </c>
      <c r="E6" s="2">
        <v>5.5</v>
      </c>
      <c r="F6" s="2">
        <v>0.5</v>
      </c>
      <c r="G6" s="2">
        <v>11</v>
      </c>
      <c r="H6" s="2">
        <v>0.5</v>
      </c>
      <c r="I6" s="2">
        <v>5.9828571207599994</v>
      </c>
      <c r="J6" s="4">
        <v>16.56115096448001</v>
      </c>
      <c r="K6" s="2">
        <v>223.13208578001263</v>
      </c>
      <c r="L6" s="2">
        <v>0</v>
      </c>
      <c r="M6" s="2">
        <v>0.50143266660844332</v>
      </c>
      <c r="N6" s="2">
        <v>1.5042979998253301</v>
      </c>
      <c r="O6" s="2">
        <v>0</v>
      </c>
      <c r="P6" s="2">
        <v>9.5272206655604226</v>
      </c>
      <c r="Q6" s="2" t="e">
        <v>#DIV/0!</v>
      </c>
      <c r="R6" s="2">
        <v>0.66857688881125776</v>
      </c>
      <c r="S6" s="2">
        <v>0.150429799982533</v>
      </c>
      <c r="U6" s="2">
        <f t="shared" ref="U6:AE6" si="28">AVERAGE(A14:A16)</f>
        <v>5</v>
      </c>
      <c r="V6" s="2">
        <f t="shared" si="28"/>
        <v>7</v>
      </c>
      <c r="W6" s="2" t="e">
        <f t="shared" si="28"/>
        <v>#DIV/0!</v>
      </c>
      <c r="X6" s="2">
        <f t="shared" si="28"/>
        <v>0</v>
      </c>
      <c r="Y6" s="2">
        <f t="shared" si="28"/>
        <v>5.5</v>
      </c>
      <c r="Z6" s="2">
        <f t="shared" si="28"/>
        <v>0.5</v>
      </c>
      <c r="AA6" s="2" t="e">
        <f t="shared" si="28"/>
        <v>#DIV/0!</v>
      </c>
      <c r="AB6" s="2">
        <f t="shared" si="28"/>
        <v>11</v>
      </c>
      <c r="AC6" s="2" t="e">
        <f t="shared" si="28"/>
        <v>#DIV/0!</v>
      </c>
      <c r="AD6" s="2" t="e">
        <f t="shared" si="28"/>
        <v>#DIV/0!</v>
      </c>
      <c r="AE6" s="2" t="e">
        <f t="shared" si="28"/>
        <v>#DIV/0!</v>
      </c>
      <c r="AF6" s="2" t="e">
        <f t="shared" ref="AF6" si="29">AVERAGE(L14:L16)</f>
        <v>#DIV/0!</v>
      </c>
      <c r="AG6" s="2" t="e">
        <f t="shared" ref="AG6" si="30">AVERAGE(M14:M16)</f>
        <v>#DIV/0!</v>
      </c>
      <c r="AH6" s="2" t="e">
        <f t="shared" ref="AH6" si="31">AVERAGE(N14:N16)</f>
        <v>#DIV/0!</v>
      </c>
      <c r="AI6" s="2" t="e">
        <f t="shared" ref="AI6" si="32">AVERAGE(O14:O16)</f>
        <v>#DIV/0!</v>
      </c>
      <c r="AJ6" s="2" t="e">
        <f t="shared" ref="AJ6:AK6" si="33">AVERAGE(P14:P16)</f>
        <v>#DIV/0!</v>
      </c>
      <c r="AK6" s="2" t="e">
        <f t="shared" si="33"/>
        <v>#DIV/0!</v>
      </c>
      <c r="AL6" s="2" t="e">
        <f t="shared" ref="AL6" si="34">AVERAGE(R14:R16)</f>
        <v>#DIV/0!</v>
      </c>
      <c r="AM6" s="2" t="e">
        <f>AVERAGE(S14:S16)</f>
        <v>#DIV/0!</v>
      </c>
    </row>
    <row r="7" spans="1:39" x14ac:dyDescent="0.25">
      <c r="A7" s="2">
        <v>2</v>
      </c>
      <c r="B7" s="2">
        <v>7</v>
      </c>
      <c r="C7" s="2" t="s">
        <v>4</v>
      </c>
      <c r="D7" s="2">
        <v>0</v>
      </c>
      <c r="E7" s="2">
        <v>5.5</v>
      </c>
      <c r="F7" s="2">
        <v>0.5</v>
      </c>
      <c r="G7" s="2">
        <v>12</v>
      </c>
      <c r="H7" s="2">
        <v>0.6</v>
      </c>
      <c r="I7" s="2">
        <v>5.7043311217779991</v>
      </c>
      <c r="J7" s="4">
        <v>19.394003295527341</v>
      </c>
      <c r="K7" s="2">
        <v>248.65991816544269</v>
      </c>
      <c r="L7" s="2">
        <v>0</v>
      </c>
      <c r="M7" s="2">
        <v>1.2271377398263918</v>
      </c>
      <c r="N7" s="2">
        <v>0.52591617421131076</v>
      </c>
      <c r="O7" s="2">
        <v>0</v>
      </c>
      <c r="P7" s="2">
        <v>8.9405749615922829</v>
      </c>
      <c r="Q7" s="2" t="e">
        <v>#DIV/0!</v>
      </c>
      <c r="R7" s="2">
        <v>0.40144934631463391</v>
      </c>
      <c r="S7" s="2">
        <v>0.17530539140377027</v>
      </c>
      <c r="U7" s="2">
        <f t="shared" ref="U7:AE7" si="35">AVERAGE(A17:A19)</f>
        <v>1</v>
      </c>
      <c r="V7" s="2">
        <f t="shared" si="35"/>
        <v>7</v>
      </c>
      <c r="W7" s="2" t="e">
        <f t="shared" si="35"/>
        <v>#DIV/0!</v>
      </c>
      <c r="X7" s="2">
        <f t="shared" si="35"/>
        <v>200</v>
      </c>
      <c r="Y7" s="2">
        <f t="shared" si="35"/>
        <v>5.5</v>
      </c>
      <c r="Z7" s="2">
        <f t="shared" si="35"/>
        <v>0.5</v>
      </c>
      <c r="AA7" s="2">
        <f t="shared" si="35"/>
        <v>5</v>
      </c>
      <c r="AB7" s="2">
        <f t="shared" si="35"/>
        <v>2.2000000000000002</v>
      </c>
      <c r="AC7" s="2">
        <f t="shared" si="35"/>
        <v>5.9457956852389993</v>
      </c>
      <c r="AD7" s="2">
        <f t="shared" si="35"/>
        <v>139.91986221318439</v>
      </c>
      <c r="AE7" s="2">
        <f t="shared" si="35"/>
        <v>191.54691620554627</v>
      </c>
      <c r="AF7" s="2">
        <f t="shared" ref="AF7" si="36">AVERAGE(L17:L19)</f>
        <v>0</v>
      </c>
      <c r="AG7" s="2">
        <f t="shared" ref="AG7" si="37">AVERAGE(M17:M19)</f>
        <v>0.7816706049169545</v>
      </c>
      <c r="AH7" s="2">
        <f t="shared" ref="AH7" si="38">AVERAGE(N17:N19)</f>
        <v>2.025004266925436</v>
      </c>
      <c r="AI7" s="2">
        <f t="shared" ref="AI7" si="39">AVERAGE(O17:O19)</f>
        <v>0</v>
      </c>
      <c r="AJ7" s="2">
        <f t="shared" ref="AJ7:AK7" si="40">AVERAGE(P17:P19)</f>
        <v>11.981340575729291</v>
      </c>
      <c r="AK7" s="2">
        <f t="shared" si="40"/>
        <v>94.009329712135354</v>
      </c>
      <c r="AL7" s="2">
        <f t="shared" ref="AL7" si="41">AVERAGE(R17:R19)</f>
        <v>0.61172825697768773</v>
      </c>
      <c r="AM7" s="2">
        <f>AVERAGE(S17:S19)</f>
        <v>0.11232064542806353</v>
      </c>
    </row>
    <row r="8" spans="1:39" x14ac:dyDescent="0.25">
      <c r="A8" s="2">
        <v>3</v>
      </c>
      <c r="B8" s="2">
        <v>7</v>
      </c>
      <c r="C8" s="2" t="s">
        <v>4</v>
      </c>
      <c r="D8" s="2">
        <v>0</v>
      </c>
      <c r="E8" s="2">
        <v>5.5</v>
      </c>
      <c r="F8" s="2">
        <v>0.5</v>
      </c>
      <c r="G8" s="2">
        <v>13</v>
      </c>
      <c r="H8" s="2">
        <v>0.7</v>
      </c>
      <c r="I8" s="2">
        <v>4.6950069592679995</v>
      </c>
      <c r="J8" s="4">
        <v>5.1969565525427779</v>
      </c>
      <c r="K8" s="2">
        <v>272.81003335716048</v>
      </c>
      <c r="L8" s="2">
        <v>0</v>
      </c>
      <c r="M8" s="2">
        <v>1.7039378363876341</v>
      </c>
      <c r="N8" s="2">
        <v>1.2779533772907257</v>
      </c>
      <c r="O8" s="2">
        <v>0</v>
      </c>
      <c r="P8" s="2">
        <v>11.714572625164985</v>
      </c>
      <c r="Q8" s="2" t="e">
        <v>#DIV/0!</v>
      </c>
      <c r="R8" s="2">
        <v>0.71352396898732184</v>
      </c>
      <c r="S8" s="2">
        <v>0.21299222954845426</v>
      </c>
      <c r="U8" s="2">
        <f t="shared" ref="U8:AE8" si="42">AVERAGE(A20:A22)</f>
        <v>2</v>
      </c>
      <c r="V8" s="2">
        <f t="shared" si="42"/>
        <v>7</v>
      </c>
      <c r="W8" s="2" t="e">
        <f t="shared" si="42"/>
        <v>#DIV/0!</v>
      </c>
      <c r="X8" s="2">
        <f t="shared" si="42"/>
        <v>200</v>
      </c>
      <c r="Y8" s="2">
        <f t="shared" si="42"/>
        <v>5.5</v>
      </c>
      <c r="Z8" s="2">
        <f t="shared" si="42"/>
        <v>0.5</v>
      </c>
      <c r="AA8" s="2">
        <f t="shared" si="42"/>
        <v>17</v>
      </c>
      <c r="AB8" s="2">
        <f t="shared" si="42"/>
        <v>2.5</v>
      </c>
      <c r="AC8" s="2">
        <f t="shared" si="42"/>
        <v>8.1993586788766688</v>
      </c>
      <c r="AD8" s="2">
        <f t="shared" si="42"/>
        <v>96.594529941088396</v>
      </c>
      <c r="AE8" s="2">
        <f t="shared" si="42"/>
        <v>160.65854578886831</v>
      </c>
      <c r="AF8" s="2">
        <f t="shared" ref="AF8" si="43">AVERAGE(L20:L22)</f>
        <v>0</v>
      </c>
      <c r="AG8" s="2">
        <f t="shared" ref="AG8" si="44">AVERAGE(M20:M22)</f>
        <v>1.644455243147168</v>
      </c>
      <c r="AH8" s="2">
        <f t="shared" ref="AH8" si="45">AVERAGE(N20:N22)</f>
        <v>1.4575810356971504</v>
      </c>
      <c r="AI8" s="2">
        <f t="shared" ref="AI8" si="46">AVERAGE(O20:O22)</f>
        <v>0</v>
      </c>
      <c r="AJ8" s="2">
        <f t="shared" ref="AJ8:AK8" si="47">AVERAGE(P20:P22)</f>
        <v>7.9553985436600501</v>
      </c>
      <c r="AK8" s="2">
        <f t="shared" si="47"/>
        <v>96.022300728169967</v>
      </c>
      <c r="AL8" s="2">
        <f t="shared" ref="AL8" si="48">AVERAGE(R20:R22)</f>
        <v>0.35099523437532981</v>
      </c>
      <c r="AM8" s="2">
        <f>AVERAGE(S20:S22)</f>
        <v>7.3403651395670635E-2</v>
      </c>
    </row>
    <row r="9" spans="1:39" x14ac:dyDescent="0.25">
      <c r="A9" s="2">
        <v>3</v>
      </c>
      <c r="B9" s="2">
        <v>7</v>
      </c>
      <c r="C9" s="2" t="s">
        <v>4</v>
      </c>
      <c r="D9" s="2">
        <v>0</v>
      </c>
      <c r="E9" s="2">
        <v>5.5</v>
      </c>
      <c r="F9" s="2">
        <v>0.5</v>
      </c>
      <c r="G9" s="2">
        <v>14</v>
      </c>
      <c r="H9" s="2">
        <v>0.8</v>
      </c>
      <c r="I9" s="2">
        <v>5.7858265260199992</v>
      </c>
      <c r="J9" s="4">
        <v>8.9523617681310856</v>
      </c>
      <c r="K9" s="2">
        <v>214.72181274218312</v>
      </c>
      <c r="L9" s="2">
        <v>0</v>
      </c>
      <c r="M9" s="2">
        <v>1.5555253790491697</v>
      </c>
      <c r="N9" s="2">
        <v>0.86418076613842765</v>
      </c>
      <c r="O9" s="2">
        <v>0</v>
      </c>
      <c r="P9" s="2">
        <v>9.1603161210673321</v>
      </c>
      <c r="Q9" s="2" t="e">
        <v>#DIV/0!</v>
      </c>
      <c r="R9" s="2">
        <v>0.50295320589256487</v>
      </c>
      <c r="S9" s="2">
        <v>0.17283615322768553</v>
      </c>
      <c r="U9" s="2">
        <f t="shared" ref="U9:AE9" si="49">AVERAGE(A23:A25)</f>
        <v>3</v>
      </c>
      <c r="V9" s="2">
        <f t="shared" si="49"/>
        <v>7</v>
      </c>
      <c r="W9" s="2" t="e">
        <f t="shared" si="49"/>
        <v>#DIV/0!</v>
      </c>
      <c r="X9" s="2">
        <f t="shared" si="49"/>
        <v>200</v>
      </c>
      <c r="Y9" s="2">
        <f t="shared" si="49"/>
        <v>5.5</v>
      </c>
      <c r="Z9" s="2">
        <f t="shared" si="49"/>
        <v>0.5</v>
      </c>
      <c r="AA9" s="2">
        <f t="shared" si="49"/>
        <v>20</v>
      </c>
      <c r="AB9" s="2">
        <f t="shared" si="49"/>
        <v>2.8000000000000003</v>
      </c>
      <c r="AC9" s="2">
        <f t="shared" si="49"/>
        <v>6.2219229254200004</v>
      </c>
      <c r="AD9" s="2">
        <f t="shared" si="49"/>
        <v>168.59065288645675</v>
      </c>
      <c r="AE9" s="2">
        <f t="shared" si="49"/>
        <v>243.97299052639855</v>
      </c>
      <c r="AF9" s="2">
        <f t="shared" ref="AF9" si="50">AVERAGE(L23:L25)</f>
        <v>2.9406368083807338E-3</v>
      </c>
      <c r="AG9" s="2">
        <f t="shared" ref="AG9" si="51">AVERAGE(M23:M25)</f>
        <v>1.322682519347343</v>
      </c>
      <c r="AH9" s="2">
        <f t="shared" ref="AH9" si="52">AVERAGE(N23:N25)</f>
        <v>1.9655481988039458</v>
      </c>
      <c r="AI9" s="2">
        <f t="shared" ref="AI9" si="53">AVERAGE(O23:O25)</f>
        <v>0</v>
      </c>
      <c r="AJ9" s="2">
        <f t="shared" ref="AJ9:AK9" si="54">AVERAGE(P23:P25)</f>
        <v>21.911802580750855</v>
      </c>
      <c r="AK9" s="2">
        <f t="shared" si="54"/>
        <v>89.044098709624564</v>
      </c>
      <c r="AL9" s="2">
        <f t="shared" ref="AL9" si="55">AVERAGE(R23:R25)</f>
        <v>0.40514775739597697</v>
      </c>
      <c r="AM9" s="2">
        <f>AVERAGE(S23:S25)</f>
        <v>9.6334755342289857E-2</v>
      </c>
    </row>
    <row r="10" spans="1:39" x14ac:dyDescent="0.25">
      <c r="A10" s="2">
        <v>3</v>
      </c>
      <c r="B10" s="2">
        <v>7</v>
      </c>
      <c r="C10" s="2" t="s">
        <v>4</v>
      </c>
      <c r="D10" s="2">
        <v>0</v>
      </c>
      <c r="E10" s="2">
        <v>5.5</v>
      </c>
      <c r="F10" s="2">
        <v>0.5</v>
      </c>
      <c r="G10" s="2">
        <v>15</v>
      </c>
      <c r="H10" s="2">
        <v>0.9</v>
      </c>
      <c r="I10" s="2">
        <v>5.4232609003379988</v>
      </c>
      <c r="J10" s="4">
        <v>8.0846474312398335</v>
      </c>
      <c r="K10" s="2">
        <v>204.52227565148996</v>
      </c>
      <c r="L10" s="2">
        <v>0</v>
      </c>
      <c r="M10" s="2">
        <v>14.198099891377355</v>
      </c>
      <c r="N10" s="2">
        <v>2.2126908921627049</v>
      </c>
      <c r="O10" s="2">
        <v>0</v>
      </c>
      <c r="P10" s="2">
        <v>13.829318076016905</v>
      </c>
      <c r="Q10" s="2" t="e">
        <v>#DIV/0!</v>
      </c>
      <c r="R10" s="2">
        <v>0.71174890364567001</v>
      </c>
      <c r="S10" s="2">
        <v>0.11063454460813524</v>
      </c>
      <c r="U10" s="2">
        <f t="shared" ref="U10:AE10" si="56">AVERAGE(A26:A28)</f>
        <v>4</v>
      </c>
      <c r="V10" s="2">
        <f t="shared" si="56"/>
        <v>7</v>
      </c>
      <c r="W10" s="2" t="e">
        <f t="shared" si="56"/>
        <v>#DIV/0!</v>
      </c>
      <c r="X10" s="2">
        <f t="shared" si="56"/>
        <v>200</v>
      </c>
      <c r="Y10" s="2">
        <f t="shared" si="56"/>
        <v>5.5</v>
      </c>
      <c r="Z10" s="2">
        <f t="shared" si="56"/>
        <v>0.5</v>
      </c>
      <c r="AA10" s="2" t="e">
        <f t="shared" si="56"/>
        <v>#DIV/0!</v>
      </c>
      <c r="AB10" s="2">
        <f t="shared" si="56"/>
        <v>5</v>
      </c>
      <c r="AC10" s="2" t="e">
        <f t="shared" si="56"/>
        <v>#DIV/0!</v>
      </c>
      <c r="AD10" s="2" t="e">
        <f t="shared" si="56"/>
        <v>#DIV/0!</v>
      </c>
      <c r="AE10" s="2" t="e">
        <f t="shared" si="56"/>
        <v>#DIV/0!</v>
      </c>
      <c r="AF10" s="2" t="e">
        <f t="shared" ref="AF10" si="57">AVERAGE(L26:L28)</f>
        <v>#DIV/0!</v>
      </c>
      <c r="AG10" s="2" t="e">
        <f t="shared" ref="AG10" si="58">AVERAGE(M26:M28)</f>
        <v>#DIV/0!</v>
      </c>
      <c r="AH10" s="2" t="e">
        <f t="shared" ref="AH10" si="59">AVERAGE(N26:N28)</f>
        <v>#DIV/0!</v>
      </c>
      <c r="AI10" s="2" t="e">
        <f t="shared" ref="AI10" si="60">AVERAGE(O26:O28)</f>
        <v>#DIV/0!</v>
      </c>
      <c r="AJ10" s="2" t="e">
        <f t="shared" ref="AJ10:AK10" si="61">AVERAGE(P26:P28)</f>
        <v>#DIV/0!</v>
      </c>
      <c r="AK10" s="2" t="e">
        <f t="shared" si="61"/>
        <v>#DIV/0!</v>
      </c>
      <c r="AL10" s="2" t="e">
        <f t="shared" ref="AL10" si="62">AVERAGE(R26:R28)</f>
        <v>#DIV/0!</v>
      </c>
      <c r="AM10" s="2" t="e">
        <f>AVERAGE(S26:S28)</f>
        <v>#DIV/0!</v>
      </c>
    </row>
    <row r="11" spans="1:39" x14ac:dyDescent="0.25">
      <c r="A11" s="2">
        <v>4</v>
      </c>
      <c r="B11" s="2">
        <v>7</v>
      </c>
      <c r="C11" s="2" t="s">
        <v>4</v>
      </c>
      <c r="D11" s="2">
        <v>0</v>
      </c>
      <c r="E11" s="2">
        <v>5.5</v>
      </c>
      <c r="F11" s="2">
        <v>0.5</v>
      </c>
      <c r="H11" s="2">
        <v>1</v>
      </c>
      <c r="J11" s="6" t="e">
        <v>#DIV/0!</v>
      </c>
      <c r="K11" s="3"/>
      <c r="L11" s="2" t="e">
        <v>#DIV/0!</v>
      </c>
      <c r="M11" s="2" t="e">
        <v>#DIV/0!</v>
      </c>
      <c r="N11" s="2" t="e">
        <v>#DIV/0!</v>
      </c>
      <c r="O11" s="2" t="e">
        <v>#DIV/0!</v>
      </c>
      <c r="P11" s="2" t="e">
        <v>#DIV/0!</v>
      </c>
      <c r="Q11" s="2" t="e">
        <v>#DIV/0!</v>
      </c>
      <c r="R11" s="2" t="e">
        <v>#DIV/0!</v>
      </c>
      <c r="S11" s="2" t="e">
        <v>#DIV/0!</v>
      </c>
      <c r="U11" s="2">
        <f t="shared" ref="U11:AE11" si="63">AVERAGE(A29:A31)</f>
        <v>5</v>
      </c>
      <c r="V11" s="2">
        <f t="shared" si="63"/>
        <v>7</v>
      </c>
      <c r="W11" s="2" t="e">
        <f t="shared" si="63"/>
        <v>#DIV/0!</v>
      </c>
      <c r="X11" s="2">
        <f t="shared" si="63"/>
        <v>200</v>
      </c>
      <c r="Y11" s="2">
        <f t="shared" si="63"/>
        <v>5.5</v>
      </c>
      <c r="Z11" s="2">
        <f t="shared" si="63"/>
        <v>0.5</v>
      </c>
      <c r="AA11" s="2" t="e">
        <f t="shared" si="63"/>
        <v>#DIV/0!</v>
      </c>
      <c r="AB11" s="2">
        <f t="shared" si="63"/>
        <v>14</v>
      </c>
      <c r="AC11" s="2" t="e">
        <f t="shared" si="63"/>
        <v>#DIV/0!</v>
      </c>
      <c r="AD11" s="2" t="e">
        <f t="shared" si="63"/>
        <v>#DIV/0!</v>
      </c>
      <c r="AE11" s="2" t="e">
        <f t="shared" si="63"/>
        <v>#DIV/0!</v>
      </c>
      <c r="AF11" s="2" t="e">
        <f t="shared" ref="AF11" si="64">AVERAGE(L29:L31)</f>
        <v>#DIV/0!</v>
      </c>
      <c r="AG11" s="2" t="e">
        <f t="shared" ref="AG11" si="65">AVERAGE(M29:M31)</f>
        <v>#DIV/0!</v>
      </c>
      <c r="AH11" s="2" t="e">
        <f t="shared" ref="AH11" si="66">AVERAGE(N29:N31)</f>
        <v>#DIV/0!</v>
      </c>
      <c r="AI11" s="2" t="e">
        <f t="shared" ref="AI11" si="67">AVERAGE(O29:O31)</f>
        <v>#DIV/0!</v>
      </c>
      <c r="AJ11" s="2" t="e">
        <f t="shared" ref="AJ11:AK11" si="68">AVERAGE(P29:P31)</f>
        <v>#DIV/0!</v>
      </c>
      <c r="AK11" s="2" t="e">
        <f t="shared" si="68"/>
        <v>#DIV/0!</v>
      </c>
      <c r="AL11" s="2" t="e">
        <f t="shared" ref="AL11" si="69">AVERAGE(R29:R31)</f>
        <v>#DIV/0!</v>
      </c>
      <c r="AM11" s="2" t="e">
        <f>AVERAGE(S29:S31)</f>
        <v>#DIV/0!</v>
      </c>
    </row>
    <row r="12" spans="1:39" x14ac:dyDescent="0.25">
      <c r="A12" s="2">
        <v>4</v>
      </c>
      <c r="B12" s="2">
        <v>7</v>
      </c>
      <c r="C12" s="2" t="s">
        <v>4</v>
      </c>
      <c r="D12" s="2">
        <v>0</v>
      </c>
      <c r="E12" s="2">
        <v>5.5</v>
      </c>
      <c r="F12" s="2">
        <v>0.5</v>
      </c>
      <c r="H12" s="2">
        <v>2</v>
      </c>
      <c r="J12" s="6" t="e">
        <v>#DIV/0!</v>
      </c>
      <c r="K12" s="3"/>
      <c r="L12" s="2" t="e">
        <v>#DIV/0!</v>
      </c>
      <c r="M12" s="2" t="e">
        <v>#DIV/0!</v>
      </c>
      <c r="N12" s="2" t="e">
        <v>#DIV/0!</v>
      </c>
      <c r="O12" s="2" t="e">
        <v>#DIV/0!</v>
      </c>
      <c r="P12" s="2" t="e">
        <v>#DIV/0!</v>
      </c>
      <c r="Q12" s="2" t="e">
        <v>#DIV/0!</v>
      </c>
      <c r="R12" s="2" t="e">
        <v>#DIV/0!</v>
      </c>
      <c r="S12" s="2" t="e">
        <v>#DIV/0!</v>
      </c>
      <c r="U12" s="2">
        <f t="shared" ref="U12:AE12" si="70">AVERAGE(A32:A34)</f>
        <v>1</v>
      </c>
      <c r="V12" s="2">
        <f t="shared" si="70"/>
        <v>7</v>
      </c>
      <c r="W12" s="2" t="e">
        <f t="shared" si="70"/>
        <v>#DIV/0!</v>
      </c>
      <c r="X12" s="2">
        <f t="shared" si="70"/>
        <v>800</v>
      </c>
      <c r="Y12" s="2">
        <f t="shared" si="70"/>
        <v>5.5</v>
      </c>
      <c r="Z12" s="2">
        <f t="shared" si="70"/>
        <v>0.5</v>
      </c>
      <c r="AA12" s="2">
        <f t="shared" si="70"/>
        <v>8</v>
      </c>
      <c r="AB12" s="2">
        <f t="shared" si="70"/>
        <v>8.1999999999999993</v>
      </c>
      <c r="AC12" s="2">
        <f t="shared" si="70"/>
        <v>5.8908390755749993</v>
      </c>
      <c r="AD12" s="2">
        <f t="shared" si="70"/>
        <v>573.24817597104845</v>
      </c>
      <c r="AE12" s="2">
        <f t="shared" si="70"/>
        <v>196.19295004871483</v>
      </c>
      <c r="AF12" s="2">
        <f t="shared" ref="AF12" si="71">AVERAGE(L32:L34)</f>
        <v>0</v>
      </c>
      <c r="AG12" s="2">
        <f t="shared" ref="AG12" si="72">AVERAGE(M32:M34)</f>
        <v>1.5710023940854685</v>
      </c>
      <c r="AH12" s="2">
        <f t="shared" ref="AH12" si="73">AVERAGE(N32:N34)</f>
        <v>3.0282711311968007</v>
      </c>
      <c r="AI12" s="2">
        <f t="shared" ref="AI12" si="74">AVERAGE(O32:O34)</f>
        <v>0</v>
      </c>
      <c r="AJ12" s="2">
        <f t="shared" ref="AJ12:AK12" si="75">AVERAGE(P32:P34)</f>
        <v>38.674345839221928</v>
      </c>
      <c r="AK12" s="2">
        <f t="shared" si="75"/>
        <v>95.165706770097259</v>
      </c>
      <c r="AL12" s="2">
        <f t="shared" ref="AL12" si="76">AVERAGE(R32:R34)</f>
        <v>0.5036595560468079</v>
      </c>
      <c r="AM12" s="2">
        <f>AVERAGE(S32:S34)</f>
        <v>0.11402015681350235</v>
      </c>
    </row>
    <row r="13" spans="1:39" x14ac:dyDescent="0.25">
      <c r="A13" s="2">
        <v>4</v>
      </c>
      <c r="B13" s="2">
        <v>7</v>
      </c>
      <c r="C13" s="2" t="s">
        <v>4</v>
      </c>
      <c r="D13" s="2">
        <v>0</v>
      </c>
      <c r="E13" s="2">
        <v>5.5</v>
      </c>
      <c r="F13" s="2">
        <v>0.5</v>
      </c>
      <c r="H13" s="2">
        <v>3</v>
      </c>
      <c r="J13" s="6" t="e">
        <v>#DIV/0!</v>
      </c>
      <c r="K13" s="3"/>
      <c r="L13" s="2" t="e">
        <v>#DIV/0!</v>
      </c>
      <c r="M13" s="2" t="e">
        <v>#DIV/0!</v>
      </c>
      <c r="N13" s="2" t="e">
        <v>#DIV/0!</v>
      </c>
      <c r="O13" s="2" t="e">
        <v>#DIV/0!</v>
      </c>
      <c r="P13" s="2" t="e">
        <v>#DIV/0!</v>
      </c>
      <c r="Q13" s="2" t="e">
        <v>#DIV/0!</v>
      </c>
      <c r="R13" s="2" t="e">
        <v>#DIV/0!</v>
      </c>
      <c r="S13" s="2" t="e">
        <v>#DIV/0!</v>
      </c>
      <c r="U13" s="2">
        <f t="shared" ref="U13:AE13" si="77">AVERAGE(A35:A37)</f>
        <v>2</v>
      </c>
      <c r="V13" s="2">
        <f t="shared" si="77"/>
        <v>7</v>
      </c>
      <c r="W13" s="2" t="e">
        <f t="shared" si="77"/>
        <v>#DIV/0!</v>
      </c>
      <c r="X13" s="2">
        <f t="shared" si="77"/>
        <v>800</v>
      </c>
      <c r="Y13" s="2">
        <f t="shared" si="77"/>
        <v>5.5</v>
      </c>
      <c r="Z13" s="2">
        <f t="shared" si="77"/>
        <v>0.5</v>
      </c>
      <c r="AA13" s="2">
        <f t="shared" si="77"/>
        <v>23</v>
      </c>
      <c r="AB13" s="2">
        <f t="shared" si="77"/>
        <v>8.5</v>
      </c>
      <c r="AC13" s="2">
        <f t="shared" si="77"/>
        <v>9.2691744224813348</v>
      </c>
      <c r="AD13" s="2">
        <f t="shared" si="77"/>
        <v>418.07333287993316</v>
      </c>
      <c r="AE13" s="2">
        <f t="shared" si="77"/>
        <v>161.14907037269919</v>
      </c>
      <c r="AF13" s="2">
        <f t="shared" ref="AF13" si="78">AVERAGE(L35:L37)</f>
        <v>3.7167224651981468E-4</v>
      </c>
      <c r="AG13" s="2">
        <f t="shared" ref="AG13" si="79">AVERAGE(M35:M37)</f>
        <v>1.6402328390275347</v>
      </c>
      <c r="AH13" s="2">
        <f t="shared" ref="AH13" si="80">AVERAGE(N35:N37)</f>
        <v>1.3046241212138872</v>
      </c>
      <c r="AI13" s="2">
        <f t="shared" ref="AI13" si="81">AVERAGE(O35:O37)</f>
        <v>0</v>
      </c>
      <c r="AJ13" s="2">
        <f t="shared" ref="AJ13:AK13" si="82">AVERAGE(P35:P37)</f>
        <v>12.912116047784698</v>
      </c>
      <c r="AK13" s="2">
        <f t="shared" si="82"/>
        <v>98.385985494026912</v>
      </c>
      <c r="AL13" s="2">
        <f t="shared" ref="AL13" si="83">AVERAGE(R35:R37)</f>
        <v>0.18093308021241924</v>
      </c>
      <c r="AM13" s="2">
        <f>AVERAGE(S35:S37)</f>
        <v>6.7167760618438752E-2</v>
      </c>
    </row>
    <row r="14" spans="1:39" x14ac:dyDescent="0.25">
      <c r="A14" s="2">
        <v>5</v>
      </c>
      <c r="B14" s="2">
        <v>7</v>
      </c>
      <c r="C14" s="2" t="s">
        <v>4</v>
      </c>
      <c r="D14" s="2">
        <v>0</v>
      </c>
      <c r="E14" s="2">
        <v>5.5</v>
      </c>
      <c r="F14" s="2">
        <v>0.5</v>
      </c>
      <c r="H14" s="2">
        <v>10</v>
      </c>
      <c r="J14" s="6" t="e">
        <v>#DIV/0!</v>
      </c>
      <c r="K14" s="3"/>
      <c r="L14" s="2" t="e">
        <v>#DIV/0!</v>
      </c>
      <c r="M14" s="2" t="e">
        <v>#DIV/0!</v>
      </c>
      <c r="N14" s="2" t="e">
        <v>#DIV/0!</v>
      </c>
      <c r="O14" s="2" t="e">
        <v>#DIV/0!</v>
      </c>
      <c r="P14" s="2" t="e">
        <v>#DIV/0!</v>
      </c>
      <c r="Q14" s="2" t="e">
        <v>#DIV/0!</v>
      </c>
      <c r="R14" s="2" t="e">
        <v>#DIV/0!</v>
      </c>
      <c r="S14" s="2" t="e">
        <v>#DIV/0!</v>
      </c>
      <c r="U14" s="2">
        <f t="shared" ref="U14:AE14" si="84">AVERAGE(A38:A40)</f>
        <v>3</v>
      </c>
      <c r="V14" s="2">
        <f t="shared" si="84"/>
        <v>7</v>
      </c>
      <c r="W14" s="2" t="e">
        <f t="shared" si="84"/>
        <v>#DIV/0!</v>
      </c>
      <c r="X14" s="2">
        <f t="shared" si="84"/>
        <v>800</v>
      </c>
      <c r="Y14" s="2">
        <f t="shared" si="84"/>
        <v>5.5</v>
      </c>
      <c r="Z14" s="2">
        <f t="shared" si="84"/>
        <v>0.5</v>
      </c>
      <c r="AA14" s="2">
        <f t="shared" si="84"/>
        <v>26</v>
      </c>
      <c r="AB14" s="2">
        <f t="shared" si="84"/>
        <v>8.7999999999999989</v>
      </c>
      <c r="AC14" s="2">
        <f t="shared" si="84"/>
        <v>7.6991274650826673</v>
      </c>
      <c r="AD14" s="2">
        <f t="shared" si="84"/>
        <v>521.74775906812704</v>
      </c>
      <c r="AE14" s="2">
        <f t="shared" si="84"/>
        <v>209.47225997740347</v>
      </c>
      <c r="AF14" s="2">
        <f t="shared" ref="AF14" si="85">AVERAGE(L38:L40)</f>
        <v>1.7018371442707465E-3</v>
      </c>
      <c r="AG14" s="2">
        <f t="shared" ref="AG14" si="86">AVERAGE(M38:M40)</f>
        <v>0.85958170206908635</v>
      </c>
      <c r="AH14" s="2">
        <f t="shared" ref="AH14" si="87">AVERAGE(N38:N40)</f>
        <v>0.91178885139767918</v>
      </c>
      <c r="AI14" s="2">
        <f t="shared" ref="AI14" si="88">AVERAGE(O38:O40)</f>
        <v>0</v>
      </c>
      <c r="AJ14" s="2">
        <f t="shared" ref="AJ14:AK14" si="89">AVERAGE(P38:P40)</f>
        <v>13.206416467191227</v>
      </c>
      <c r="AK14" s="2">
        <f t="shared" si="89"/>
        <v>98.349197941601076</v>
      </c>
      <c r="AL14" s="2">
        <f t="shared" ref="AL14" si="90">AVERAGE(R38:R40)</f>
        <v>0.25187571661209857</v>
      </c>
      <c r="AM14" s="2">
        <f>AVERAGE(S38:S40)</f>
        <v>9.1144964958326649E-2</v>
      </c>
    </row>
    <row r="15" spans="1:39" x14ac:dyDescent="0.25">
      <c r="A15" s="2">
        <v>5</v>
      </c>
      <c r="B15" s="2">
        <v>7</v>
      </c>
      <c r="C15" s="2" t="s">
        <v>4</v>
      </c>
      <c r="D15" s="2">
        <v>0</v>
      </c>
      <c r="E15" s="2">
        <v>5.5</v>
      </c>
      <c r="F15" s="2">
        <v>0.5</v>
      </c>
      <c r="H15" s="2">
        <v>11</v>
      </c>
      <c r="J15" s="6" t="e">
        <v>#DIV/0!</v>
      </c>
      <c r="K15" s="3"/>
      <c r="L15" s="2" t="e">
        <v>#DIV/0!</v>
      </c>
      <c r="M15" s="2" t="e">
        <v>#DIV/0!</v>
      </c>
      <c r="N15" s="2" t="e">
        <v>#DIV/0!</v>
      </c>
      <c r="O15" s="2" t="e">
        <v>#DIV/0!</v>
      </c>
      <c r="P15" s="2" t="e">
        <v>#DIV/0!</v>
      </c>
      <c r="Q15" s="2" t="e">
        <v>#DIV/0!</v>
      </c>
      <c r="R15" s="2" t="e">
        <v>#DIV/0!</v>
      </c>
      <c r="S15" s="2" t="e">
        <v>#DIV/0!</v>
      </c>
      <c r="U15" s="2">
        <f t="shared" ref="U15:AE15" si="91">AVERAGE(A41:A43)</f>
        <v>4</v>
      </c>
      <c r="V15" s="2">
        <f t="shared" si="91"/>
        <v>7</v>
      </c>
      <c r="W15" s="2" t="e">
        <f t="shared" si="91"/>
        <v>#DIV/0!</v>
      </c>
      <c r="X15" s="2">
        <f t="shared" si="91"/>
        <v>800</v>
      </c>
      <c r="Y15" s="2">
        <f t="shared" si="91"/>
        <v>5.5</v>
      </c>
      <c r="Z15" s="2">
        <f t="shared" si="91"/>
        <v>0.5</v>
      </c>
      <c r="AA15" s="2" t="e">
        <f t="shared" si="91"/>
        <v>#DIV/0!</v>
      </c>
      <c r="AB15" s="2">
        <f t="shared" si="91"/>
        <v>8</v>
      </c>
      <c r="AC15" s="2" t="e">
        <f t="shared" si="91"/>
        <v>#DIV/0!</v>
      </c>
      <c r="AD15" s="2" t="e">
        <f t="shared" si="91"/>
        <v>#DIV/0!</v>
      </c>
      <c r="AE15" s="2" t="e">
        <f t="shared" si="91"/>
        <v>#DIV/0!</v>
      </c>
      <c r="AF15" s="2" t="e">
        <f t="shared" ref="AF15" si="92">AVERAGE(L41:L43)</f>
        <v>#DIV/0!</v>
      </c>
      <c r="AG15" s="2" t="e">
        <f t="shared" ref="AG15" si="93">AVERAGE(M41:M43)</f>
        <v>#DIV/0!</v>
      </c>
      <c r="AH15" s="2" t="e">
        <f t="shared" ref="AH15" si="94">AVERAGE(N41:N43)</f>
        <v>#DIV/0!</v>
      </c>
      <c r="AI15" s="2" t="e">
        <f t="shared" ref="AI15" si="95">AVERAGE(O41:O43)</f>
        <v>#DIV/0!</v>
      </c>
      <c r="AJ15" s="2" t="e">
        <f t="shared" ref="AJ15:AK15" si="96">AVERAGE(P41:P43)</f>
        <v>#DIV/0!</v>
      </c>
      <c r="AK15" s="2" t="e">
        <f t="shared" si="96"/>
        <v>#DIV/0!</v>
      </c>
      <c r="AL15" s="2" t="e">
        <f t="shared" ref="AL15" si="97">AVERAGE(R41:R43)</f>
        <v>#DIV/0!</v>
      </c>
      <c r="AM15" s="2" t="e">
        <f>AVERAGE(S41:S43)</f>
        <v>#DIV/0!</v>
      </c>
    </row>
    <row r="16" spans="1:39" x14ac:dyDescent="0.25">
      <c r="A16" s="2">
        <v>5</v>
      </c>
      <c r="B16" s="2">
        <v>7</v>
      </c>
      <c r="C16" s="2" t="s">
        <v>4</v>
      </c>
      <c r="D16" s="2">
        <v>0</v>
      </c>
      <c r="E16" s="2">
        <v>5.5</v>
      </c>
      <c r="F16" s="2">
        <v>0.5</v>
      </c>
      <c r="H16" s="2">
        <v>12</v>
      </c>
      <c r="J16" s="6" t="e">
        <v>#DIV/0!</v>
      </c>
      <c r="K16" s="3"/>
      <c r="L16" s="2" t="e">
        <v>#DIV/0!</v>
      </c>
      <c r="M16" s="2" t="e">
        <v>#DIV/0!</v>
      </c>
      <c r="N16" s="2" t="e">
        <v>#DIV/0!</v>
      </c>
      <c r="O16" s="2" t="e">
        <v>#DIV/0!</v>
      </c>
      <c r="P16" s="2" t="e">
        <v>#DIV/0!</v>
      </c>
      <c r="Q16" s="2" t="e">
        <v>#DIV/0!</v>
      </c>
      <c r="R16" s="2" t="e">
        <v>#DIV/0!</v>
      </c>
      <c r="S16" s="2" t="e">
        <v>#DIV/0!</v>
      </c>
      <c r="U16" s="2">
        <f t="shared" ref="U16:AE16" si="98">AVERAGE(A44:A46)</f>
        <v>5</v>
      </c>
      <c r="V16" s="2">
        <f t="shared" si="98"/>
        <v>7</v>
      </c>
      <c r="W16" s="2" t="e">
        <f t="shared" si="98"/>
        <v>#DIV/0!</v>
      </c>
      <c r="X16" s="2">
        <f t="shared" si="98"/>
        <v>800</v>
      </c>
      <c r="Y16" s="2">
        <f t="shared" si="98"/>
        <v>5.5</v>
      </c>
      <c r="Z16" s="2">
        <f t="shared" si="98"/>
        <v>0.5</v>
      </c>
      <c r="AA16" s="2" t="e">
        <f t="shared" si="98"/>
        <v>#DIV/0!</v>
      </c>
      <c r="AB16" s="2">
        <f t="shared" si="98"/>
        <v>17</v>
      </c>
      <c r="AC16" s="2" t="e">
        <f t="shared" si="98"/>
        <v>#DIV/0!</v>
      </c>
      <c r="AD16" s="2" t="e">
        <f t="shared" si="98"/>
        <v>#DIV/0!</v>
      </c>
      <c r="AE16" s="2" t="e">
        <f t="shared" si="98"/>
        <v>#DIV/0!</v>
      </c>
      <c r="AF16" s="2" t="e">
        <f t="shared" ref="AF16" si="99">AVERAGE(L44:L46)</f>
        <v>#DIV/0!</v>
      </c>
      <c r="AG16" s="2" t="e">
        <f t="shared" ref="AG16" si="100">AVERAGE(M44:M46)</f>
        <v>#DIV/0!</v>
      </c>
      <c r="AH16" s="2" t="e">
        <f t="shared" ref="AH16" si="101">AVERAGE(N44:N46)</f>
        <v>#DIV/0!</v>
      </c>
      <c r="AI16" s="2" t="e">
        <f t="shared" ref="AI16" si="102">AVERAGE(O44:O46)</f>
        <v>#DIV/0!</v>
      </c>
      <c r="AJ16" s="2" t="e">
        <f t="shared" ref="AJ16:AK16" si="103">AVERAGE(P44:P46)</f>
        <v>#DIV/0!</v>
      </c>
      <c r="AK16" s="2" t="e">
        <f t="shared" si="103"/>
        <v>#DIV/0!</v>
      </c>
      <c r="AL16" s="2" t="e">
        <f t="shared" ref="AL16" si="104">AVERAGE(R44:R46)</f>
        <v>#DIV/0!</v>
      </c>
      <c r="AM16" s="2" t="e">
        <f>AVERAGE(S44:S46)</f>
        <v>#DIV/0!</v>
      </c>
    </row>
    <row r="17" spans="1:20" x14ac:dyDescent="0.25">
      <c r="A17" s="2">
        <v>1</v>
      </c>
      <c r="B17" s="2">
        <v>7</v>
      </c>
      <c r="C17" s="2" t="s">
        <v>4</v>
      </c>
      <c r="D17" s="2">
        <v>200</v>
      </c>
      <c r="E17" s="2">
        <v>5.5</v>
      </c>
      <c r="F17" s="2">
        <v>0.5</v>
      </c>
      <c r="G17" s="2">
        <v>4</v>
      </c>
      <c r="H17" s="2">
        <v>2.1</v>
      </c>
      <c r="I17" s="2">
        <v>6.014156655241</v>
      </c>
      <c r="J17" s="5">
        <v>130.18473759951175</v>
      </c>
      <c r="K17" s="2">
        <v>183.15589778966347</v>
      </c>
      <c r="L17" s="2">
        <v>0</v>
      </c>
      <c r="M17" s="2">
        <v>0</v>
      </c>
      <c r="N17" s="2">
        <v>1.9952922226498164</v>
      </c>
      <c r="O17" s="2">
        <v>0</v>
      </c>
      <c r="P17" s="2">
        <v>12.969399447223806</v>
      </c>
      <c r="Q17" s="2">
        <v>93.515300276388103</v>
      </c>
      <c r="R17" s="2">
        <v>0.66177192051218903</v>
      </c>
      <c r="S17" s="2">
        <v>9.9764611132490813E-2</v>
      </c>
    </row>
    <row r="18" spans="1:20" x14ac:dyDescent="0.25">
      <c r="A18" s="2">
        <v>1</v>
      </c>
      <c r="B18" s="2">
        <v>7</v>
      </c>
      <c r="C18" s="2" t="s">
        <v>4</v>
      </c>
      <c r="D18" s="2">
        <v>200</v>
      </c>
      <c r="E18" s="2">
        <v>5.5</v>
      </c>
      <c r="F18" s="2">
        <v>0.5</v>
      </c>
      <c r="G18" s="2">
        <v>5</v>
      </c>
      <c r="H18" s="2">
        <v>2.2000000000000002</v>
      </c>
      <c r="I18" s="2">
        <v>6.146799023482</v>
      </c>
      <c r="J18" s="5">
        <v>141.16593887272998</v>
      </c>
      <c r="K18" s="2">
        <v>184.56426211451952</v>
      </c>
      <c r="L18" s="2">
        <v>0</v>
      </c>
      <c r="M18" s="2">
        <v>1.4641767146799827</v>
      </c>
      <c r="N18" s="2">
        <v>1.7895493179422008</v>
      </c>
      <c r="O18" s="2">
        <v>0</v>
      </c>
      <c r="P18" s="2">
        <v>11.87610001907097</v>
      </c>
      <c r="Q18" s="2">
        <v>94.061949990464512</v>
      </c>
      <c r="R18" s="2">
        <v>0.63610343937763691</v>
      </c>
      <c r="S18" s="2">
        <v>0.11388041114177641</v>
      </c>
    </row>
    <row r="19" spans="1:20" x14ac:dyDescent="0.25">
      <c r="A19" s="2">
        <v>1</v>
      </c>
      <c r="B19" s="2">
        <v>7</v>
      </c>
      <c r="C19" s="2" t="s">
        <v>4</v>
      </c>
      <c r="D19" s="2">
        <v>200</v>
      </c>
      <c r="E19" s="2">
        <v>5.5</v>
      </c>
      <c r="F19" s="2">
        <v>0.5</v>
      </c>
      <c r="G19" s="2">
        <v>6</v>
      </c>
      <c r="H19" s="2">
        <v>2.2999999999999998</v>
      </c>
      <c r="I19" s="2">
        <v>5.6764313769940005</v>
      </c>
      <c r="J19" s="5">
        <v>148.40891016731143</v>
      </c>
      <c r="K19" s="2">
        <v>206.92058871245581</v>
      </c>
      <c r="L19" s="2">
        <v>0</v>
      </c>
      <c r="M19" s="2">
        <v>0.88083510007088117</v>
      </c>
      <c r="N19" s="2">
        <v>2.290171260184291</v>
      </c>
      <c r="O19" s="2">
        <v>0</v>
      </c>
      <c r="P19" s="2">
        <v>11.098522260893102</v>
      </c>
      <c r="Q19" s="2">
        <v>94.450738869553447</v>
      </c>
      <c r="R19" s="2">
        <v>0.53730941104323748</v>
      </c>
      <c r="S19" s="2">
        <v>0.12331691400992335</v>
      </c>
    </row>
    <row r="20" spans="1:20" x14ac:dyDescent="0.25">
      <c r="A20" s="2">
        <v>2</v>
      </c>
      <c r="B20" s="2">
        <v>7</v>
      </c>
      <c r="C20" s="2" t="s">
        <v>4</v>
      </c>
      <c r="D20" s="2">
        <v>200</v>
      </c>
      <c r="E20" s="2">
        <v>5.5</v>
      </c>
      <c r="F20" s="2">
        <v>0.5</v>
      </c>
      <c r="G20" s="2">
        <v>16</v>
      </c>
      <c r="H20" s="2">
        <v>2.4</v>
      </c>
      <c r="I20" s="2">
        <v>8.6298789780100016</v>
      </c>
      <c r="J20" s="4">
        <v>72.670615325237151</v>
      </c>
      <c r="K20" s="2">
        <v>132.39483468575816</v>
      </c>
      <c r="L20" s="2">
        <v>0</v>
      </c>
      <c r="M20" s="2">
        <v>1.5063942418109926</v>
      </c>
      <c r="N20" s="2">
        <v>1.1587648013930711</v>
      </c>
      <c r="O20" s="2">
        <v>0</v>
      </c>
      <c r="P20" s="2">
        <v>7.1843417686370419</v>
      </c>
      <c r="Q20" s="2">
        <v>96.40782911568148</v>
      </c>
      <c r="R20" s="2">
        <v>0.29084996514966083</v>
      </c>
      <c r="S20" s="2">
        <v>6.9525888083584272E-2</v>
      </c>
    </row>
    <row r="21" spans="1:20" x14ac:dyDescent="0.25">
      <c r="A21" s="2">
        <v>2</v>
      </c>
      <c r="B21" s="2">
        <v>7</v>
      </c>
      <c r="C21" s="2" t="s">
        <v>4</v>
      </c>
      <c r="D21" s="2">
        <v>200</v>
      </c>
      <c r="E21" s="2">
        <v>5.5</v>
      </c>
      <c r="F21" s="2">
        <v>0.5</v>
      </c>
      <c r="G21" s="2">
        <v>17</v>
      </c>
      <c r="H21" s="2">
        <v>2.5</v>
      </c>
      <c r="I21" s="2">
        <v>8.3883617364980019</v>
      </c>
      <c r="J21" s="4">
        <v>100.98420974617908</v>
      </c>
      <c r="K21" s="2">
        <v>172.4206318269068</v>
      </c>
      <c r="L21" s="2">
        <v>0</v>
      </c>
      <c r="M21" s="2">
        <v>2.5034685746357836</v>
      </c>
      <c r="N21" s="2">
        <v>2.0266174175623011</v>
      </c>
      <c r="O21" s="2">
        <v>0</v>
      </c>
      <c r="P21" s="2">
        <v>8.1064696702492043</v>
      </c>
      <c r="Q21" s="2">
        <v>95.946765164875401</v>
      </c>
      <c r="R21" s="2">
        <v>0.42439752979539952</v>
      </c>
      <c r="S21" s="2">
        <v>7.1527673561022381E-2</v>
      </c>
    </row>
    <row r="22" spans="1:20" x14ac:dyDescent="0.25">
      <c r="A22" s="2">
        <v>2</v>
      </c>
      <c r="B22" s="2">
        <v>7</v>
      </c>
      <c r="C22" s="2" t="s">
        <v>4</v>
      </c>
      <c r="D22" s="2">
        <v>200</v>
      </c>
      <c r="E22" s="2">
        <v>5.5</v>
      </c>
      <c r="F22" s="2">
        <v>0.5</v>
      </c>
      <c r="G22" s="2">
        <v>18</v>
      </c>
      <c r="H22" s="2">
        <v>2.6</v>
      </c>
      <c r="I22" s="2">
        <v>7.5798353221219994</v>
      </c>
      <c r="J22" s="4">
        <v>116.12876475184895</v>
      </c>
      <c r="K22" s="2">
        <v>177.16017085393997</v>
      </c>
      <c r="L22" s="2">
        <v>0</v>
      </c>
      <c r="M22" s="2">
        <v>0.9235029129947282</v>
      </c>
      <c r="N22" s="2">
        <v>1.1873608881360791</v>
      </c>
      <c r="O22" s="2">
        <v>0</v>
      </c>
      <c r="P22" s="2">
        <v>8.5753841920939049</v>
      </c>
      <c r="Q22" s="2">
        <v>95.712307903953047</v>
      </c>
      <c r="R22" s="2">
        <v>0.33773820818092914</v>
      </c>
      <c r="S22" s="2">
        <v>7.9157392542405267E-2</v>
      </c>
    </row>
    <row r="23" spans="1:20" x14ac:dyDescent="0.25">
      <c r="A23" s="2">
        <v>3</v>
      </c>
      <c r="B23" s="2">
        <v>7</v>
      </c>
      <c r="C23" s="2" t="s">
        <v>4</v>
      </c>
      <c r="D23" s="2">
        <v>200</v>
      </c>
      <c r="E23" s="2">
        <v>5.5</v>
      </c>
      <c r="F23" s="2">
        <v>0.5</v>
      </c>
      <c r="G23" s="2">
        <v>19</v>
      </c>
      <c r="H23" s="2">
        <v>2.7</v>
      </c>
      <c r="I23" s="2">
        <v>6.8012479279999996</v>
      </c>
      <c r="J23" s="4">
        <v>140.36500120334824</v>
      </c>
      <c r="K23" s="2">
        <v>196.9359517784911</v>
      </c>
      <c r="L23" s="2">
        <v>8.8219104251422015E-3</v>
      </c>
      <c r="M23" s="2">
        <v>0</v>
      </c>
      <c r="N23" s="2">
        <v>1.1762547233522938</v>
      </c>
      <c r="O23" s="2">
        <v>0</v>
      </c>
      <c r="P23" s="2">
        <v>9.5570696272373858</v>
      </c>
      <c r="Q23" s="2">
        <v>95.221465186381309</v>
      </c>
      <c r="R23" s="2">
        <v>0.27641985998778901</v>
      </c>
      <c r="S23" s="2">
        <v>0.10292228829332568</v>
      </c>
    </row>
    <row r="24" spans="1:20" x14ac:dyDescent="0.25">
      <c r="A24" s="2">
        <v>3</v>
      </c>
      <c r="B24" s="2">
        <v>7</v>
      </c>
      <c r="C24" s="2" t="s">
        <v>4</v>
      </c>
      <c r="D24" s="2">
        <v>200</v>
      </c>
      <c r="E24" s="2">
        <v>5.5</v>
      </c>
      <c r="F24" s="2">
        <v>0.5</v>
      </c>
      <c r="G24" s="2">
        <v>20</v>
      </c>
      <c r="H24" s="2">
        <v>2.8</v>
      </c>
      <c r="I24" s="2">
        <v>6.6438000334759995</v>
      </c>
      <c r="J24" s="4">
        <v>156.7713868925612</v>
      </c>
      <c r="K24" s="2">
        <v>257.68820082555669</v>
      </c>
      <c r="L24" s="2">
        <v>0</v>
      </c>
      <c r="M24" s="2">
        <v>3.0103254010094145</v>
      </c>
      <c r="N24" s="2">
        <v>1.655678970555178</v>
      </c>
      <c r="O24" s="2">
        <v>0</v>
      </c>
      <c r="P24" s="2">
        <v>9.633041283230126</v>
      </c>
      <c r="Q24" s="2">
        <v>95.183479358384943</v>
      </c>
      <c r="R24" s="2">
        <v>0.39886811563374741</v>
      </c>
      <c r="S24" s="2">
        <v>9.0309762030282431E-2</v>
      </c>
    </row>
    <row r="25" spans="1:20" x14ac:dyDescent="0.25">
      <c r="A25" s="2">
        <v>3</v>
      </c>
      <c r="B25" s="2">
        <v>7</v>
      </c>
      <c r="C25" s="2" t="s">
        <v>4</v>
      </c>
      <c r="D25" s="2">
        <v>200</v>
      </c>
      <c r="E25" s="2">
        <v>5.5</v>
      </c>
      <c r="F25" s="2">
        <v>0.5</v>
      </c>
      <c r="G25" s="2">
        <v>21</v>
      </c>
      <c r="H25" s="2">
        <v>2.9</v>
      </c>
      <c r="I25" s="2">
        <v>5.2207208147840003</v>
      </c>
      <c r="J25" s="4">
        <v>208.6355705634609</v>
      </c>
      <c r="K25" s="2">
        <v>277.29481897514785</v>
      </c>
      <c r="L25" s="2">
        <v>0</v>
      </c>
      <c r="M25" s="2">
        <v>0.95772215703261421</v>
      </c>
      <c r="N25" s="2">
        <v>3.0647109025043657</v>
      </c>
      <c r="O25" s="2">
        <v>0</v>
      </c>
      <c r="P25" s="2">
        <v>46.545296831785052</v>
      </c>
      <c r="Q25" s="2">
        <v>76.727351584107481</v>
      </c>
      <c r="R25" s="2">
        <v>0.54015529656639438</v>
      </c>
      <c r="S25" s="2">
        <v>9.5772215703261429E-2</v>
      </c>
    </row>
    <row r="26" spans="1:20" x14ac:dyDescent="0.25">
      <c r="A26" s="2">
        <v>4</v>
      </c>
      <c r="B26" s="2">
        <v>7</v>
      </c>
      <c r="C26" s="2" t="s">
        <v>4</v>
      </c>
      <c r="D26" s="2">
        <v>200</v>
      </c>
      <c r="E26" s="2">
        <v>5.5</v>
      </c>
      <c r="F26" s="2">
        <v>0.5</v>
      </c>
      <c r="H26" s="2">
        <v>4</v>
      </c>
      <c r="J26" s="6" t="e">
        <v>#DIV/0!</v>
      </c>
      <c r="K26" s="3"/>
      <c r="L26" s="2" t="e">
        <v>#DIV/0!</v>
      </c>
      <c r="M26" s="2" t="e">
        <v>#DIV/0!</v>
      </c>
      <c r="N26" s="2" t="e">
        <v>#DIV/0!</v>
      </c>
      <c r="O26" s="2" t="e">
        <v>#DIV/0!</v>
      </c>
      <c r="P26" s="2" t="e">
        <v>#DIV/0!</v>
      </c>
      <c r="Q26" s="2" t="e">
        <v>#DIV/0!</v>
      </c>
      <c r="R26" s="2" t="e">
        <v>#DIV/0!</v>
      </c>
      <c r="S26" s="2" t="e">
        <v>#DIV/0!</v>
      </c>
    </row>
    <row r="27" spans="1:20" x14ac:dyDescent="0.25">
      <c r="A27" s="2">
        <v>4</v>
      </c>
      <c r="B27" s="2">
        <v>7</v>
      </c>
      <c r="C27" s="2" t="s">
        <v>4</v>
      </c>
      <c r="D27" s="2">
        <v>200</v>
      </c>
      <c r="E27" s="2">
        <v>5.5</v>
      </c>
      <c r="F27" s="2">
        <v>0.5</v>
      </c>
      <c r="H27" s="2">
        <v>5</v>
      </c>
      <c r="J27" s="6" t="e">
        <v>#DIV/0!</v>
      </c>
      <c r="K27" s="3"/>
      <c r="L27" s="2" t="e">
        <v>#DIV/0!</v>
      </c>
      <c r="M27" s="2" t="e">
        <v>#DIV/0!</v>
      </c>
      <c r="N27" s="2" t="e">
        <v>#DIV/0!</v>
      </c>
      <c r="O27" s="2" t="e">
        <v>#DIV/0!</v>
      </c>
      <c r="P27" s="2" t="e">
        <v>#DIV/0!</v>
      </c>
      <c r="Q27" s="2" t="e">
        <v>#DIV/0!</v>
      </c>
      <c r="R27" s="2" t="e">
        <v>#DIV/0!</v>
      </c>
      <c r="S27" s="2" t="e">
        <v>#DIV/0!</v>
      </c>
    </row>
    <row r="28" spans="1:20" x14ac:dyDescent="0.25">
      <c r="A28" s="2">
        <v>4</v>
      </c>
      <c r="B28" s="2">
        <v>7</v>
      </c>
      <c r="C28" s="2" t="s">
        <v>4</v>
      </c>
      <c r="D28" s="2">
        <v>200</v>
      </c>
      <c r="E28" s="2">
        <v>5.5</v>
      </c>
      <c r="F28" s="2">
        <v>0.5</v>
      </c>
      <c r="H28" s="2">
        <v>6</v>
      </c>
      <c r="J28" s="6" t="e">
        <v>#DIV/0!</v>
      </c>
      <c r="K28" s="3"/>
      <c r="L28" s="2" t="e">
        <v>#DIV/0!</v>
      </c>
      <c r="M28" s="2" t="e">
        <v>#DIV/0!</v>
      </c>
      <c r="N28" s="2" t="e">
        <v>#DIV/0!</v>
      </c>
      <c r="O28" s="2" t="e">
        <v>#DIV/0!</v>
      </c>
      <c r="P28" s="2" t="e">
        <v>#DIV/0!</v>
      </c>
      <c r="Q28" s="2" t="e">
        <v>#DIV/0!</v>
      </c>
      <c r="R28" s="2" t="e">
        <v>#DIV/0!</v>
      </c>
      <c r="S28" s="2" t="e">
        <v>#DIV/0!</v>
      </c>
      <c r="T28" s="2" t="s">
        <v>17</v>
      </c>
    </row>
    <row r="29" spans="1:20" x14ac:dyDescent="0.25">
      <c r="A29" s="2">
        <v>5</v>
      </c>
      <c r="B29" s="2">
        <v>7</v>
      </c>
      <c r="C29" s="2" t="s">
        <v>4</v>
      </c>
      <c r="D29" s="2">
        <v>200</v>
      </c>
      <c r="E29" s="2">
        <v>5.5</v>
      </c>
      <c r="F29" s="2">
        <v>0.5</v>
      </c>
      <c r="H29" s="2">
        <v>13</v>
      </c>
      <c r="J29" s="6" t="e">
        <v>#DIV/0!</v>
      </c>
      <c r="K29" s="3"/>
      <c r="L29" s="2" t="e">
        <v>#DIV/0!</v>
      </c>
      <c r="M29" s="2" t="e">
        <v>#DIV/0!</v>
      </c>
      <c r="N29" s="2" t="e">
        <v>#DIV/0!</v>
      </c>
      <c r="O29" s="2" t="e">
        <v>#DIV/0!</v>
      </c>
      <c r="P29" s="2" t="e">
        <v>#DIV/0!</v>
      </c>
      <c r="Q29" s="2" t="e">
        <v>#DIV/0!</v>
      </c>
      <c r="R29" s="2" t="e">
        <v>#DIV/0!</v>
      </c>
      <c r="S29" s="2" t="e">
        <v>#DIV/0!</v>
      </c>
    </row>
    <row r="30" spans="1:20" x14ac:dyDescent="0.25">
      <c r="A30" s="2">
        <v>5</v>
      </c>
      <c r="B30" s="2">
        <v>7</v>
      </c>
      <c r="C30" s="2" t="s">
        <v>4</v>
      </c>
      <c r="D30" s="2">
        <v>200</v>
      </c>
      <c r="E30" s="2">
        <v>5.5</v>
      </c>
      <c r="F30" s="2">
        <v>0.5</v>
      </c>
      <c r="H30" s="2">
        <v>14</v>
      </c>
      <c r="J30" s="6" t="e">
        <v>#DIV/0!</v>
      </c>
      <c r="K30" s="3"/>
      <c r="L30" s="2" t="e">
        <v>#DIV/0!</v>
      </c>
      <c r="M30" s="2" t="e">
        <v>#DIV/0!</v>
      </c>
      <c r="N30" s="2" t="e">
        <v>#DIV/0!</v>
      </c>
      <c r="O30" s="2" t="e">
        <v>#DIV/0!</v>
      </c>
      <c r="P30" s="2" t="e">
        <v>#DIV/0!</v>
      </c>
      <c r="Q30" s="2" t="e">
        <v>#DIV/0!</v>
      </c>
      <c r="R30" s="2" t="e">
        <v>#DIV/0!</v>
      </c>
      <c r="S30" s="2" t="e">
        <v>#DIV/0!</v>
      </c>
    </row>
    <row r="31" spans="1:20" x14ac:dyDescent="0.25">
      <c r="A31" s="2">
        <v>5</v>
      </c>
      <c r="B31" s="2">
        <v>7</v>
      </c>
      <c r="C31" s="2" t="s">
        <v>4</v>
      </c>
      <c r="D31" s="2">
        <v>200</v>
      </c>
      <c r="E31" s="2">
        <v>5.5</v>
      </c>
      <c r="F31" s="2">
        <v>0.5</v>
      </c>
      <c r="H31" s="2">
        <v>15</v>
      </c>
      <c r="J31" s="6" t="e">
        <v>#DIV/0!</v>
      </c>
      <c r="K31" s="3"/>
      <c r="L31" s="2" t="e">
        <v>#DIV/0!</v>
      </c>
      <c r="M31" s="2" t="e">
        <v>#DIV/0!</v>
      </c>
      <c r="N31" s="2" t="e">
        <v>#DIV/0!</v>
      </c>
      <c r="O31" s="2" t="e">
        <v>#DIV/0!</v>
      </c>
      <c r="P31" s="2" t="e">
        <v>#DIV/0!</v>
      </c>
      <c r="Q31" s="2" t="e">
        <v>#DIV/0!</v>
      </c>
      <c r="R31" s="2" t="e">
        <v>#DIV/0!</v>
      </c>
      <c r="S31" s="2" t="e">
        <v>#DIV/0!</v>
      </c>
    </row>
    <row r="32" spans="1:20" x14ac:dyDescent="0.25">
      <c r="A32" s="2">
        <v>1</v>
      </c>
      <c r="B32" s="2">
        <v>7</v>
      </c>
      <c r="C32" s="2" t="s">
        <v>4</v>
      </c>
      <c r="D32" s="2">
        <v>800</v>
      </c>
      <c r="E32" s="2">
        <v>5.5</v>
      </c>
      <c r="F32" s="2">
        <v>0.5</v>
      </c>
      <c r="G32" s="2">
        <v>7</v>
      </c>
      <c r="H32" s="2">
        <v>8.1</v>
      </c>
      <c r="I32" s="2">
        <v>5.8752448408450002</v>
      </c>
      <c r="J32" s="5">
        <v>512.01291928158173</v>
      </c>
      <c r="K32" s="2">
        <v>181.42196662638707</v>
      </c>
      <c r="L32" s="2">
        <v>0</v>
      </c>
      <c r="M32" s="2">
        <v>0.68082269051866517</v>
      </c>
      <c r="N32" s="2">
        <v>3.9147304704823251</v>
      </c>
      <c r="O32" s="2">
        <v>0</v>
      </c>
      <c r="P32" s="2">
        <v>53.104169860455883</v>
      </c>
      <c r="Q32" s="2">
        <v>93.36197876744302</v>
      </c>
      <c r="R32" s="2">
        <v>0.62805893200346863</v>
      </c>
      <c r="S32" s="2">
        <v>0.1191439708407664</v>
      </c>
    </row>
    <row r="33" spans="1:19" x14ac:dyDescent="0.25">
      <c r="A33" s="2">
        <v>1</v>
      </c>
      <c r="B33" s="2">
        <v>7</v>
      </c>
      <c r="C33" s="2" t="s">
        <v>4</v>
      </c>
      <c r="D33" s="2">
        <v>800</v>
      </c>
      <c r="E33" s="2">
        <v>5.5</v>
      </c>
      <c r="F33" s="2">
        <v>0.5</v>
      </c>
      <c r="G33" s="2">
        <v>8</v>
      </c>
      <c r="H33" s="2">
        <v>8.1999999999999993</v>
      </c>
      <c r="I33" s="2">
        <v>6.3411728336199999</v>
      </c>
      <c r="J33" s="4">
        <v>547.59554701417528</v>
      </c>
      <c r="K33" s="2">
        <v>189.42797491056044</v>
      </c>
      <c r="L33" s="2">
        <v>0</v>
      </c>
      <c r="M33" s="2">
        <v>0</v>
      </c>
      <c r="N33" s="2">
        <v>3.1539906772392063</v>
      </c>
      <c r="O33" s="2">
        <v>0</v>
      </c>
      <c r="P33" s="2">
        <v>41.474977405695562</v>
      </c>
      <c r="Q33" s="2">
        <v>94.815627824288057</v>
      </c>
      <c r="R33" s="2">
        <v>0.55667935453271988</v>
      </c>
      <c r="S33" s="2">
        <v>9.4619720317176179E-2</v>
      </c>
    </row>
    <row r="34" spans="1:19" x14ac:dyDescent="0.25">
      <c r="A34" s="2">
        <v>1</v>
      </c>
      <c r="B34" s="2">
        <v>7</v>
      </c>
      <c r="C34" s="2" t="s">
        <v>4</v>
      </c>
      <c r="D34" s="2">
        <v>800</v>
      </c>
      <c r="E34" s="2">
        <v>5.5</v>
      </c>
      <c r="F34" s="2">
        <v>0.5</v>
      </c>
      <c r="G34" s="2">
        <v>9</v>
      </c>
      <c r="H34" s="2">
        <v>8.3000000000000007</v>
      </c>
      <c r="I34" s="2">
        <v>5.4560995522600004</v>
      </c>
      <c r="J34" s="5">
        <v>660.13606161738824</v>
      </c>
      <c r="K34" s="2">
        <v>217.72890860919696</v>
      </c>
      <c r="L34" s="2">
        <v>0</v>
      </c>
      <c r="M34" s="2">
        <v>4.0321844917377403</v>
      </c>
      <c r="N34" s="2">
        <v>2.0160922458688701</v>
      </c>
      <c r="O34" s="2">
        <v>0</v>
      </c>
      <c r="P34" s="2">
        <v>21.443890251514343</v>
      </c>
      <c r="Q34" s="2">
        <v>97.319513718560714</v>
      </c>
      <c r="R34" s="2">
        <v>0.3262403816042353</v>
      </c>
      <c r="S34" s="2">
        <v>0.12829677928256444</v>
      </c>
    </row>
    <row r="35" spans="1:19" x14ac:dyDescent="0.25">
      <c r="A35" s="2">
        <v>2</v>
      </c>
      <c r="B35" s="2">
        <v>7</v>
      </c>
      <c r="C35" s="2" t="s">
        <v>4</v>
      </c>
      <c r="D35" s="2">
        <v>800</v>
      </c>
      <c r="E35" s="2">
        <v>5.5</v>
      </c>
      <c r="F35" s="2">
        <v>0.5</v>
      </c>
      <c r="G35" s="2">
        <v>22</v>
      </c>
      <c r="H35" s="2">
        <v>8.4</v>
      </c>
      <c r="I35" s="2">
        <v>7.8596569345380001</v>
      </c>
      <c r="J35" s="4">
        <v>439.61924439368215</v>
      </c>
      <c r="K35" s="2">
        <v>171.81979269809946</v>
      </c>
      <c r="L35" s="2">
        <v>0</v>
      </c>
      <c r="M35" s="2">
        <v>2.9263363772189845</v>
      </c>
      <c r="N35" s="2">
        <v>1.9084802460123811</v>
      </c>
      <c r="O35" s="2">
        <v>0</v>
      </c>
      <c r="P35" s="2">
        <v>17.558018263313908</v>
      </c>
      <c r="Q35" s="2">
        <v>97.805247717085763</v>
      </c>
      <c r="R35" s="2">
        <v>0.29136131755789019</v>
      </c>
      <c r="S35" s="2">
        <v>8.906241148057778E-2</v>
      </c>
    </row>
    <row r="36" spans="1:19" x14ac:dyDescent="0.25">
      <c r="A36" s="2">
        <v>2</v>
      </c>
      <c r="B36" s="2">
        <v>7</v>
      </c>
      <c r="C36" s="2" t="s">
        <v>4</v>
      </c>
      <c r="D36" s="2">
        <v>800</v>
      </c>
      <c r="E36" s="2">
        <v>5.5</v>
      </c>
      <c r="F36" s="2">
        <v>0.5</v>
      </c>
      <c r="G36" s="2">
        <v>23</v>
      </c>
      <c r="H36" s="2">
        <v>8.5</v>
      </c>
      <c r="I36" s="2">
        <v>8.9684752212340015</v>
      </c>
      <c r="J36" s="4">
        <v>437.79610235911741</v>
      </c>
      <c r="K36" s="2">
        <v>170.02226269452112</v>
      </c>
      <c r="L36" s="2">
        <v>1.115016739559444E-3</v>
      </c>
      <c r="M36" s="2">
        <v>0.44600669582377761</v>
      </c>
      <c r="N36" s="2">
        <v>1.0035150656034997</v>
      </c>
      <c r="O36" s="2">
        <v>0</v>
      </c>
      <c r="P36" s="2">
        <v>10.704160699770663</v>
      </c>
      <c r="Q36" s="2">
        <v>98.661979912528665</v>
      </c>
      <c r="R36" s="2">
        <v>0.15944739375700048</v>
      </c>
      <c r="S36" s="2">
        <v>6.6901004373566636E-2</v>
      </c>
    </row>
    <row r="37" spans="1:19" x14ac:dyDescent="0.25">
      <c r="A37" s="2">
        <v>2</v>
      </c>
      <c r="B37" s="2">
        <v>7</v>
      </c>
      <c r="C37" s="2" t="s">
        <v>4</v>
      </c>
      <c r="D37" s="2">
        <v>800</v>
      </c>
      <c r="E37" s="2">
        <v>5.5</v>
      </c>
      <c r="F37" s="2">
        <v>0.5</v>
      </c>
      <c r="G37" s="2">
        <v>24</v>
      </c>
      <c r="H37" s="2">
        <v>8.6</v>
      </c>
      <c r="I37" s="2">
        <v>10.979391111672001</v>
      </c>
      <c r="J37" s="4">
        <v>376.80465188699992</v>
      </c>
      <c r="K37" s="2">
        <v>141.60515572547698</v>
      </c>
      <c r="L37" s="2">
        <v>0</v>
      </c>
      <c r="M37" s="2">
        <v>1.5483554440398424</v>
      </c>
      <c r="N37" s="2">
        <v>1.0018770520257805</v>
      </c>
      <c r="O37" s="2">
        <v>0</v>
      </c>
      <c r="P37" s="2">
        <v>10.474169180269522</v>
      </c>
      <c r="Q37" s="2">
        <v>98.690728852466307</v>
      </c>
      <c r="R37" s="2">
        <v>9.1990529322367107E-2</v>
      </c>
      <c r="S37" s="2">
        <v>4.5539866001171832E-2</v>
      </c>
    </row>
    <row r="38" spans="1:19" x14ac:dyDescent="0.25">
      <c r="A38" s="2">
        <v>3</v>
      </c>
      <c r="B38" s="2">
        <v>7</v>
      </c>
      <c r="C38" s="2" t="s">
        <v>4</v>
      </c>
      <c r="D38" s="2">
        <v>800</v>
      </c>
      <c r="E38" s="2">
        <v>5.5</v>
      </c>
      <c r="F38" s="2">
        <v>0.5</v>
      </c>
      <c r="G38" s="2">
        <v>25</v>
      </c>
      <c r="H38" s="2">
        <v>8.6999999999999993</v>
      </c>
      <c r="I38" s="2">
        <v>7.9593942705800007</v>
      </c>
      <c r="J38" s="4">
        <v>448.08568739959873</v>
      </c>
      <c r="K38" s="2">
        <v>177.53340218785462</v>
      </c>
      <c r="L38" s="2">
        <v>3.7691310393917579E-3</v>
      </c>
      <c r="M38" s="2">
        <v>1.3820147144436445</v>
      </c>
      <c r="N38" s="2">
        <v>0.87946390919141015</v>
      </c>
      <c r="O38" s="2">
        <v>0</v>
      </c>
      <c r="P38" s="2">
        <v>15.453437261506206</v>
      </c>
      <c r="Q38" s="2">
        <v>98.068320342311722</v>
      </c>
      <c r="R38" s="2">
        <v>0.12312494728679742</v>
      </c>
      <c r="S38" s="2">
        <v>7.5382620787835156E-2</v>
      </c>
    </row>
    <row r="39" spans="1:19" x14ac:dyDescent="0.25">
      <c r="A39" s="2">
        <v>3</v>
      </c>
      <c r="B39" s="2">
        <v>7</v>
      </c>
      <c r="C39" s="2" t="s">
        <v>4</v>
      </c>
      <c r="D39" s="2">
        <v>800</v>
      </c>
      <c r="E39" s="2">
        <v>5.5</v>
      </c>
      <c r="F39" s="2">
        <v>0.5</v>
      </c>
      <c r="G39" s="2">
        <v>26</v>
      </c>
      <c r="H39" s="2">
        <v>8.8000000000000007</v>
      </c>
      <c r="I39" s="2">
        <v>7.4828993670020001</v>
      </c>
      <c r="J39" s="4">
        <v>558.8898866588579</v>
      </c>
      <c r="K39" s="2">
        <v>217.5590998896391</v>
      </c>
      <c r="L39" s="2">
        <v>1.3363803934204809E-3</v>
      </c>
      <c r="M39" s="2">
        <v>0.93546627539433658</v>
      </c>
      <c r="N39" s="2">
        <v>1.2027423540784328</v>
      </c>
      <c r="O39" s="2">
        <v>0</v>
      </c>
      <c r="P39" s="2">
        <v>17.372945114466251</v>
      </c>
      <c r="Q39" s="2">
        <v>97.828381860691721</v>
      </c>
      <c r="R39" s="2">
        <v>0.12695613737494568</v>
      </c>
      <c r="S39" s="2">
        <v>9.3546627539433658E-2</v>
      </c>
    </row>
    <row r="40" spans="1:19" x14ac:dyDescent="0.25">
      <c r="A40" s="2">
        <v>3</v>
      </c>
      <c r="B40" s="2">
        <v>7</v>
      </c>
      <c r="C40" s="2" t="s">
        <v>4</v>
      </c>
      <c r="D40" s="2">
        <v>800</v>
      </c>
      <c r="E40" s="2">
        <v>5.5</v>
      </c>
      <c r="F40" s="2">
        <v>0.5</v>
      </c>
      <c r="G40" s="2">
        <v>27</v>
      </c>
      <c r="H40" s="2">
        <v>8.9</v>
      </c>
      <c r="I40" s="2">
        <v>7.6550887576659994</v>
      </c>
      <c r="J40" s="4">
        <v>558.26770314592466</v>
      </c>
      <c r="K40" s="3">
        <v>233.32427785471671</v>
      </c>
      <c r="L40" s="2">
        <v>0</v>
      </c>
      <c r="M40" s="2">
        <v>0.26126411636927782</v>
      </c>
      <c r="N40" s="2">
        <v>0.6531602909231945</v>
      </c>
      <c r="O40" s="2">
        <v>0</v>
      </c>
      <c r="P40" s="2">
        <v>6.7928670256012236</v>
      </c>
      <c r="Q40" s="2">
        <v>99.150891621799843</v>
      </c>
      <c r="R40" s="2">
        <v>0.50554606517455258</v>
      </c>
      <c r="S40" s="2">
        <v>0.10450564654771113</v>
      </c>
    </row>
    <row r="41" spans="1:19" x14ac:dyDescent="0.25">
      <c r="A41" s="2">
        <v>4</v>
      </c>
      <c r="B41" s="2">
        <v>7</v>
      </c>
      <c r="C41" s="2" t="s">
        <v>4</v>
      </c>
      <c r="D41" s="2">
        <v>800</v>
      </c>
      <c r="E41" s="2">
        <v>5.5</v>
      </c>
      <c r="F41" s="2">
        <v>0.5</v>
      </c>
      <c r="H41" s="2">
        <v>7</v>
      </c>
      <c r="J41" s="6" t="e">
        <v>#DIV/0!</v>
      </c>
      <c r="K41" s="3"/>
      <c r="L41" s="2" t="e">
        <v>#DIV/0!</v>
      </c>
      <c r="M41" s="2" t="e">
        <v>#DIV/0!</v>
      </c>
      <c r="N41" s="2" t="e">
        <v>#DIV/0!</v>
      </c>
      <c r="O41" s="2" t="e">
        <v>#DIV/0!</v>
      </c>
      <c r="P41" s="2" t="e">
        <v>#DIV/0!</v>
      </c>
      <c r="Q41" s="2" t="e">
        <v>#DIV/0!</v>
      </c>
      <c r="R41" s="2" t="e">
        <v>#DIV/0!</v>
      </c>
      <c r="S41" s="2" t="e">
        <v>#DIV/0!</v>
      </c>
    </row>
    <row r="42" spans="1:19" x14ac:dyDescent="0.25">
      <c r="A42" s="2">
        <v>4</v>
      </c>
      <c r="B42" s="2">
        <v>7</v>
      </c>
      <c r="C42" s="2" t="s">
        <v>4</v>
      </c>
      <c r="D42" s="2">
        <v>800</v>
      </c>
      <c r="E42" s="2">
        <v>5.5</v>
      </c>
      <c r="F42" s="2">
        <v>0.5</v>
      </c>
      <c r="H42" s="2">
        <v>8</v>
      </c>
      <c r="J42" s="6" t="e">
        <v>#DIV/0!</v>
      </c>
      <c r="K42" s="3"/>
      <c r="L42" s="2" t="e">
        <v>#DIV/0!</v>
      </c>
      <c r="M42" s="2" t="e">
        <v>#DIV/0!</v>
      </c>
      <c r="N42" s="2" t="e">
        <v>#DIV/0!</v>
      </c>
      <c r="O42" s="2" t="e">
        <v>#DIV/0!</v>
      </c>
      <c r="P42" s="2" t="e">
        <v>#DIV/0!</v>
      </c>
      <c r="Q42" s="2" t="e">
        <v>#DIV/0!</v>
      </c>
      <c r="R42" s="2" t="e">
        <v>#DIV/0!</v>
      </c>
      <c r="S42" s="2" t="e">
        <v>#DIV/0!</v>
      </c>
    </row>
    <row r="43" spans="1:19" x14ac:dyDescent="0.25">
      <c r="A43" s="2">
        <v>4</v>
      </c>
      <c r="B43" s="2">
        <v>7</v>
      </c>
      <c r="C43" s="2" t="s">
        <v>4</v>
      </c>
      <c r="D43" s="2">
        <v>800</v>
      </c>
      <c r="E43" s="2">
        <v>5.5</v>
      </c>
      <c r="F43" s="2">
        <v>0.5</v>
      </c>
      <c r="H43" s="2">
        <v>9</v>
      </c>
      <c r="J43" s="6" t="e">
        <v>#DIV/0!</v>
      </c>
      <c r="K43" s="3"/>
      <c r="L43" s="2" t="e">
        <v>#DIV/0!</v>
      </c>
      <c r="M43" s="2" t="e">
        <v>#DIV/0!</v>
      </c>
      <c r="N43" s="2" t="e">
        <v>#DIV/0!</v>
      </c>
      <c r="O43" s="2" t="e">
        <v>#DIV/0!</v>
      </c>
      <c r="P43" s="2" t="e">
        <v>#DIV/0!</v>
      </c>
      <c r="Q43" s="2" t="e">
        <v>#DIV/0!</v>
      </c>
      <c r="R43" s="2" t="e">
        <v>#DIV/0!</v>
      </c>
      <c r="S43" s="2" t="e">
        <v>#DIV/0!</v>
      </c>
    </row>
    <row r="44" spans="1:19" x14ac:dyDescent="0.25">
      <c r="A44" s="2">
        <v>5</v>
      </c>
      <c r="B44" s="2">
        <v>7</v>
      </c>
      <c r="C44" s="2" t="s">
        <v>4</v>
      </c>
      <c r="D44" s="2">
        <v>800</v>
      </c>
      <c r="E44" s="2">
        <v>5.5</v>
      </c>
      <c r="F44" s="2">
        <v>0.5</v>
      </c>
      <c r="H44" s="2">
        <v>16</v>
      </c>
      <c r="J44" s="6" t="e">
        <v>#DIV/0!</v>
      </c>
      <c r="K44" s="3"/>
      <c r="L44" s="2" t="e">
        <v>#DIV/0!</v>
      </c>
      <c r="M44" s="2" t="e">
        <v>#DIV/0!</v>
      </c>
      <c r="N44" s="2" t="e">
        <v>#DIV/0!</v>
      </c>
      <c r="O44" s="2" t="e">
        <v>#DIV/0!</v>
      </c>
      <c r="P44" s="2" t="e">
        <v>#DIV/0!</v>
      </c>
      <c r="Q44" s="2" t="e">
        <v>#DIV/0!</v>
      </c>
      <c r="R44" s="2" t="e">
        <v>#DIV/0!</v>
      </c>
      <c r="S44" s="2" t="e">
        <v>#DIV/0!</v>
      </c>
    </row>
    <row r="45" spans="1:19" x14ac:dyDescent="0.25">
      <c r="A45" s="2">
        <v>5</v>
      </c>
      <c r="B45" s="2">
        <v>7</v>
      </c>
      <c r="C45" s="2" t="s">
        <v>4</v>
      </c>
      <c r="D45" s="2">
        <v>800</v>
      </c>
      <c r="E45" s="2">
        <v>5.5</v>
      </c>
      <c r="F45" s="2">
        <v>0.5</v>
      </c>
      <c r="H45" s="2">
        <v>17</v>
      </c>
      <c r="J45" s="6" t="e">
        <v>#DIV/0!</v>
      </c>
      <c r="K45" s="3"/>
      <c r="L45" s="2" t="e">
        <v>#DIV/0!</v>
      </c>
      <c r="M45" s="2" t="e">
        <v>#DIV/0!</v>
      </c>
      <c r="N45" s="2" t="e">
        <v>#DIV/0!</v>
      </c>
      <c r="O45" s="2" t="e">
        <v>#DIV/0!</v>
      </c>
      <c r="P45" s="2" t="e">
        <v>#DIV/0!</v>
      </c>
      <c r="Q45" s="2" t="e">
        <v>#DIV/0!</v>
      </c>
      <c r="R45" s="2" t="e">
        <v>#DIV/0!</v>
      </c>
      <c r="S45" s="2" t="e">
        <v>#DIV/0!</v>
      </c>
    </row>
    <row r="46" spans="1:19" x14ac:dyDescent="0.25">
      <c r="A46" s="2">
        <v>5</v>
      </c>
      <c r="B46" s="2">
        <v>7</v>
      </c>
      <c r="C46" s="2" t="s">
        <v>4</v>
      </c>
      <c r="D46" s="2">
        <v>800</v>
      </c>
      <c r="E46" s="2">
        <v>5.5</v>
      </c>
      <c r="F46" s="2">
        <v>0.5</v>
      </c>
      <c r="H46" s="2">
        <v>18</v>
      </c>
      <c r="J46" s="6" t="e">
        <v>#DIV/0!</v>
      </c>
      <c r="L46" s="2" t="e">
        <v>#DIV/0!</v>
      </c>
      <c r="M46" s="2" t="e">
        <v>#DIV/0!</v>
      </c>
      <c r="N46" s="2" t="e">
        <v>#DIV/0!</v>
      </c>
      <c r="O46" s="2" t="e">
        <v>#DIV/0!</v>
      </c>
      <c r="P46" s="2" t="e">
        <v>#DIV/0!</v>
      </c>
      <c r="Q46" s="2" t="e">
        <v>#DIV/0!</v>
      </c>
      <c r="R46" s="2" t="e">
        <v>#DIV/0!</v>
      </c>
      <c r="S46" s="2" t="e">
        <v>#DIV/0!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07170-1B93-4355-891B-7AA063326E86}">
  <dimension ref="A1:R10"/>
  <sheetViews>
    <sheetView workbookViewId="0">
      <selection activeCell="P1" activeCellId="1" sqref="C1:C10 P1:P10"/>
    </sheetView>
  </sheetViews>
  <sheetFormatPr defaultRowHeight="15" x14ac:dyDescent="0.25"/>
  <cols>
    <col min="4" max="4" width="13.7109375" customWidth="1"/>
    <col min="5" max="5" width="16.85546875" customWidth="1"/>
    <col min="8" max="8" width="15.42578125" customWidth="1"/>
    <col min="16" max="16" width="12.7109375" style="2" customWidth="1"/>
  </cols>
  <sheetData>
    <row r="1" spans="1:18" x14ac:dyDescent="0.25">
      <c r="A1" t="s">
        <v>0</v>
      </c>
      <c r="B1" t="s">
        <v>5</v>
      </c>
      <c r="C1" t="s">
        <v>7</v>
      </c>
      <c r="D1" t="s">
        <v>1</v>
      </c>
      <c r="E1" t="s">
        <v>2</v>
      </c>
      <c r="F1" t="s">
        <v>20</v>
      </c>
      <c r="G1" t="s">
        <v>8</v>
      </c>
      <c r="H1" t="s">
        <v>32</v>
      </c>
      <c r="I1" t="s">
        <v>30</v>
      </c>
      <c r="J1" t="s">
        <v>31</v>
      </c>
      <c r="K1" t="s">
        <v>10</v>
      </c>
      <c r="L1" t="s">
        <v>16</v>
      </c>
      <c r="M1" t="s">
        <v>11</v>
      </c>
      <c r="N1" t="s">
        <v>12</v>
      </c>
      <c r="O1" t="s">
        <v>13</v>
      </c>
      <c r="P1" s="2" t="s">
        <v>33</v>
      </c>
      <c r="Q1" t="s">
        <v>14</v>
      </c>
      <c r="R1" t="s">
        <v>15</v>
      </c>
    </row>
    <row r="2" spans="1:18" x14ac:dyDescent="0.25">
      <c r="A2">
        <v>1</v>
      </c>
      <c r="B2">
        <v>7</v>
      </c>
      <c r="C2">
        <v>0</v>
      </c>
      <c r="D2">
        <v>5.5</v>
      </c>
      <c r="E2">
        <v>0.5</v>
      </c>
      <c r="F2">
        <v>2</v>
      </c>
      <c r="G2">
        <v>0.20000000000000004</v>
      </c>
      <c r="H2">
        <v>4.651602632847001</v>
      </c>
      <c r="I2">
        <v>33.152487598365759</v>
      </c>
      <c r="J2">
        <v>232.26307745953386</v>
      </c>
      <c r="K2">
        <v>0</v>
      </c>
      <c r="L2">
        <v>1.8560415966991333</v>
      </c>
      <c r="M2">
        <v>1.7752229120198224</v>
      </c>
      <c r="N2">
        <v>0</v>
      </c>
      <c r="O2">
        <v>11.868534634571217</v>
      </c>
      <c r="Q2">
        <v>0.78520715608171177</v>
      </c>
      <c r="R2">
        <v>0.2011586091203158</v>
      </c>
    </row>
    <row r="3" spans="1:18" x14ac:dyDescent="0.25">
      <c r="A3">
        <v>2</v>
      </c>
      <c r="B3">
        <v>7</v>
      </c>
      <c r="C3">
        <v>0</v>
      </c>
      <c r="D3">
        <v>5.5</v>
      </c>
      <c r="E3">
        <v>0.5</v>
      </c>
      <c r="F3">
        <v>11</v>
      </c>
      <c r="G3">
        <v>0.5</v>
      </c>
      <c r="H3">
        <v>6.5512307370460006</v>
      </c>
      <c r="I3">
        <v>14.929304248129696</v>
      </c>
      <c r="J3">
        <v>209.15794609758487</v>
      </c>
      <c r="K3">
        <v>0</v>
      </c>
      <c r="L3">
        <v>0.99460872241072418</v>
      </c>
      <c r="M3">
        <v>0.96963106886492556</v>
      </c>
      <c r="N3">
        <v>0</v>
      </c>
      <c r="O3">
        <v>8.4572341038460213</v>
      </c>
      <c r="Q3">
        <v>0.49182461528781057</v>
      </c>
      <c r="R3">
        <v>0.14205188408336342</v>
      </c>
    </row>
    <row r="4" spans="1:18" x14ac:dyDescent="0.25">
      <c r="A4">
        <v>3</v>
      </c>
      <c r="B4">
        <v>7</v>
      </c>
      <c r="C4">
        <v>0</v>
      </c>
      <c r="D4">
        <v>5.5</v>
      </c>
      <c r="E4">
        <v>0.5</v>
      </c>
      <c r="F4">
        <v>14</v>
      </c>
      <c r="G4">
        <v>0.79999999999999993</v>
      </c>
      <c r="H4">
        <v>5.3013647952086655</v>
      </c>
      <c r="I4">
        <v>7.4113219173045657</v>
      </c>
      <c r="J4">
        <v>230.68470725027785</v>
      </c>
      <c r="K4">
        <v>0</v>
      </c>
      <c r="L4">
        <v>5.8191877022713863</v>
      </c>
      <c r="M4">
        <v>1.4516083451972861</v>
      </c>
      <c r="N4">
        <v>0</v>
      </c>
      <c r="O4">
        <v>11.56806894074974</v>
      </c>
      <c r="Q4">
        <v>0.64274202617518561</v>
      </c>
      <c r="R4">
        <v>0.165487642461425</v>
      </c>
    </row>
    <row r="5" spans="1:18" x14ac:dyDescent="0.25">
      <c r="A5">
        <v>1</v>
      </c>
      <c r="B5">
        <v>7</v>
      </c>
      <c r="C5">
        <v>200</v>
      </c>
      <c r="D5">
        <v>5.5</v>
      </c>
      <c r="E5">
        <v>0.5</v>
      </c>
      <c r="F5">
        <v>5</v>
      </c>
      <c r="G5">
        <v>2.2000000000000002</v>
      </c>
      <c r="H5">
        <v>5.9457956852389993</v>
      </c>
      <c r="I5">
        <v>139.91986221318439</v>
      </c>
      <c r="J5">
        <v>191.54691620554627</v>
      </c>
      <c r="K5">
        <v>0</v>
      </c>
      <c r="L5">
        <v>0.7816706049169545</v>
      </c>
      <c r="M5">
        <v>2.025004266925436</v>
      </c>
      <c r="N5">
        <v>0</v>
      </c>
      <c r="O5">
        <v>11.981340575729291</v>
      </c>
      <c r="P5" s="2">
        <v>94.009329712135354</v>
      </c>
      <c r="Q5">
        <v>0.61172825697768773</v>
      </c>
      <c r="R5">
        <v>0.11232064542806353</v>
      </c>
    </row>
    <row r="6" spans="1:18" x14ac:dyDescent="0.25">
      <c r="A6">
        <v>2</v>
      </c>
      <c r="B6">
        <v>7</v>
      </c>
      <c r="C6">
        <v>200</v>
      </c>
      <c r="D6">
        <v>5.5</v>
      </c>
      <c r="E6">
        <v>0.5</v>
      </c>
      <c r="F6">
        <v>17</v>
      </c>
      <c r="G6">
        <v>2.5</v>
      </c>
      <c r="H6">
        <v>8.1993586788766688</v>
      </c>
      <c r="I6">
        <v>96.594529941088396</v>
      </c>
      <c r="J6">
        <v>160.65854578886831</v>
      </c>
      <c r="K6">
        <v>0</v>
      </c>
      <c r="L6">
        <v>1.644455243147168</v>
      </c>
      <c r="M6">
        <v>1.4575810356971504</v>
      </c>
      <c r="N6">
        <v>0</v>
      </c>
      <c r="O6">
        <v>7.9553985436600501</v>
      </c>
      <c r="P6" s="2">
        <v>96.022300728169967</v>
      </c>
      <c r="Q6">
        <v>0.35099523437532981</v>
      </c>
      <c r="R6">
        <v>7.3403651395670635E-2</v>
      </c>
    </row>
    <row r="7" spans="1:18" x14ac:dyDescent="0.25">
      <c r="A7">
        <v>3</v>
      </c>
      <c r="B7">
        <v>7</v>
      </c>
      <c r="C7">
        <v>200</v>
      </c>
      <c r="D7">
        <v>5.5</v>
      </c>
      <c r="E7">
        <v>0.5</v>
      </c>
      <c r="F7">
        <v>20</v>
      </c>
      <c r="G7">
        <v>2.8000000000000003</v>
      </c>
      <c r="H7">
        <v>6.2219229254200004</v>
      </c>
      <c r="I7">
        <v>168.59065288645675</v>
      </c>
      <c r="J7">
        <v>243.97299052639855</v>
      </c>
      <c r="K7">
        <v>2.9406368083807338E-3</v>
      </c>
      <c r="L7">
        <v>1.322682519347343</v>
      </c>
      <c r="M7">
        <v>1.9655481988039458</v>
      </c>
      <c r="N7">
        <v>0</v>
      </c>
      <c r="O7">
        <v>21.911802580750855</v>
      </c>
      <c r="P7" s="2">
        <v>89.044098709624564</v>
      </c>
      <c r="Q7">
        <v>0.40514775739597697</v>
      </c>
      <c r="R7">
        <v>9.6334755342289857E-2</v>
      </c>
    </row>
    <row r="8" spans="1:18" x14ac:dyDescent="0.25">
      <c r="A8">
        <v>1</v>
      </c>
      <c r="B8">
        <v>7</v>
      </c>
      <c r="C8">
        <v>800</v>
      </c>
      <c r="D8">
        <v>5.5</v>
      </c>
      <c r="E8">
        <v>0.5</v>
      </c>
      <c r="F8">
        <v>8</v>
      </c>
      <c r="G8">
        <v>8.1999999999999993</v>
      </c>
      <c r="H8">
        <v>5.8908390755749993</v>
      </c>
      <c r="I8">
        <v>573.24817597104845</v>
      </c>
      <c r="J8">
        <v>196.19295004871483</v>
      </c>
      <c r="K8">
        <v>0</v>
      </c>
      <c r="L8">
        <v>1.5710023940854685</v>
      </c>
      <c r="M8">
        <v>3.0282711311968007</v>
      </c>
      <c r="N8">
        <v>0</v>
      </c>
      <c r="O8">
        <v>38.674345839221928</v>
      </c>
      <c r="P8" s="2">
        <v>95.165706770097259</v>
      </c>
      <c r="Q8">
        <v>0.5036595560468079</v>
      </c>
      <c r="R8">
        <v>0.11402015681350235</v>
      </c>
    </row>
    <row r="9" spans="1:18" x14ac:dyDescent="0.25">
      <c r="A9">
        <v>2</v>
      </c>
      <c r="B9">
        <v>7</v>
      </c>
      <c r="C9">
        <v>800</v>
      </c>
      <c r="D9">
        <v>5.5</v>
      </c>
      <c r="E9">
        <v>0.5</v>
      </c>
      <c r="F9">
        <v>23</v>
      </c>
      <c r="G9">
        <v>8.5</v>
      </c>
      <c r="H9">
        <v>9.2691744224813348</v>
      </c>
      <c r="I9">
        <v>418.07333287993316</v>
      </c>
      <c r="J9">
        <v>161.14907037269919</v>
      </c>
      <c r="K9">
        <v>3.7167224651981468E-4</v>
      </c>
      <c r="L9">
        <v>1.6402328390275347</v>
      </c>
      <c r="M9">
        <v>1.3046241212138872</v>
      </c>
      <c r="N9">
        <v>0</v>
      </c>
      <c r="O9">
        <v>12.912116047784698</v>
      </c>
      <c r="P9" s="2">
        <v>98.385985494026912</v>
      </c>
      <c r="Q9">
        <v>0.18093308021241924</v>
      </c>
      <c r="R9">
        <v>6.7167760618438752E-2</v>
      </c>
    </row>
    <row r="10" spans="1:18" x14ac:dyDescent="0.25">
      <c r="A10">
        <v>3</v>
      </c>
      <c r="B10">
        <v>7</v>
      </c>
      <c r="C10">
        <v>800</v>
      </c>
      <c r="D10">
        <v>5.5</v>
      </c>
      <c r="E10">
        <v>0.5</v>
      </c>
      <c r="F10">
        <v>26</v>
      </c>
      <c r="G10">
        <v>8.7999999999999989</v>
      </c>
      <c r="H10">
        <v>7.6991274650826673</v>
      </c>
      <c r="I10">
        <v>521.74775906812704</v>
      </c>
      <c r="J10">
        <v>209.47225997740347</v>
      </c>
      <c r="K10">
        <v>1.7018371442707465E-3</v>
      </c>
      <c r="L10">
        <v>0.85958170206908635</v>
      </c>
      <c r="M10">
        <v>0.91178885139767918</v>
      </c>
      <c r="N10">
        <v>0</v>
      </c>
      <c r="O10">
        <v>13.206416467191227</v>
      </c>
      <c r="P10" s="2">
        <v>98.349197941601076</v>
      </c>
      <c r="Q10">
        <v>0.25187571661209857</v>
      </c>
      <c r="R10">
        <v>9.1144964958326649E-2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70045-AD49-4433-8F5C-138AFECE78F1}">
  <dimension ref="A1:B7"/>
  <sheetViews>
    <sheetView tabSelected="1" workbookViewId="0">
      <selection activeCell="D16" sqref="D16"/>
    </sheetView>
  </sheetViews>
  <sheetFormatPr defaultRowHeight="15" x14ac:dyDescent="0.25"/>
  <sheetData>
    <row r="1" spans="1:2" x14ac:dyDescent="0.25">
      <c r="A1" s="2" t="s">
        <v>7</v>
      </c>
      <c r="B1" s="2" t="s">
        <v>33</v>
      </c>
    </row>
    <row r="2" spans="1:2" x14ac:dyDescent="0.25">
      <c r="A2" s="2">
        <v>200</v>
      </c>
      <c r="B2" s="2">
        <v>94.009329712135354</v>
      </c>
    </row>
    <row r="3" spans="1:2" x14ac:dyDescent="0.25">
      <c r="A3" s="2">
        <v>200</v>
      </c>
      <c r="B3" s="2">
        <v>96.022300728169967</v>
      </c>
    </row>
    <row r="4" spans="1:2" x14ac:dyDescent="0.25">
      <c r="A4" s="2">
        <v>200</v>
      </c>
      <c r="B4" s="2">
        <v>89.044098709624564</v>
      </c>
    </row>
    <row r="5" spans="1:2" x14ac:dyDescent="0.25">
      <c r="A5" s="2">
        <v>800</v>
      </c>
      <c r="B5" s="2">
        <v>95.165706770097259</v>
      </c>
    </row>
    <row r="6" spans="1:2" x14ac:dyDescent="0.25">
      <c r="A6" s="2">
        <v>800</v>
      </c>
      <c r="B6" s="2">
        <v>98.385985494026912</v>
      </c>
    </row>
    <row r="7" spans="1:2" x14ac:dyDescent="0.25">
      <c r="A7" s="2">
        <v>800</v>
      </c>
      <c r="B7" s="2">
        <v>98.349197941601076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Formulas</vt:lpstr>
      <vt:lpstr>All data and averages</vt:lpstr>
      <vt:lpstr>Averages into R</vt:lpstr>
      <vt:lpstr>FA Uptake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Westcott</dc:creator>
  <cp:lastModifiedBy>Felix Westcott</cp:lastModifiedBy>
  <dcterms:created xsi:type="dcterms:W3CDTF">2021-09-23T14:58:05Z</dcterms:created>
  <dcterms:modified xsi:type="dcterms:W3CDTF">2021-11-29T10:42:17Z</dcterms:modified>
</cp:coreProperties>
</file>