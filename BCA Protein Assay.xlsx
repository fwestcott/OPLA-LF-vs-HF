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 LF vs HF/"/>
    </mc:Choice>
  </mc:AlternateContent>
  <xr:revisionPtr revIDLastSave="159" documentId="8_{6BA2B084-43E7-4E34-96BA-9CD87F789E01}" xr6:coauthVersionLast="47" xr6:coauthVersionMax="47" xr10:uidLastSave="{6B3AB00E-C58B-4452-AFDA-CA5ACCEF9A49}"/>
  <bookViews>
    <workbookView xWindow="8550" yWindow="705" windowWidth="27750" windowHeight="15375" firstSheet="1" activeTab="1" xr2:uid="{00000000-000D-0000-FFFF-FFFF00000000}"/>
  </bookViews>
  <sheets>
    <sheet name="23.09.21 Round 1" sheetId="1" r:id="rId1"/>
    <sheet name="20.10.21 Round 2+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2" l="1"/>
  <c r="W15" i="2"/>
  <c r="W10" i="2"/>
  <c r="S4" i="1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4" i="2"/>
  <c r="W7" i="2" s="1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E20" i="2"/>
  <c r="F20" i="2" s="1"/>
  <c r="E19" i="2"/>
  <c r="F19" i="2" s="1"/>
  <c r="E18" i="2"/>
  <c r="E17" i="2"/>
  <c r="E16" i="2"/>
  <c r="E15" i="2"/>
  <c r="E14" i="2"/>
  <c r="E13" i="2"/>
  <c r="W9" i="1"/>
  <c r="W7" i="1"/>
  <c r="U5" i="1"/>
  <c r="U6" i="1"/>
  <c r="U7" i="1"/>
  <c r="U8" i="1"/>
  <c r="U9" i="1"/>
  <c r="U10" i="1"/>
  <c r="U11" i="1"/>
  <c r="U12" i="1"/>
  <c r="T5" i="1"/>
  <c r="T6" i="1"/>
  <c r="T7" i="1"/>
  <c r="T8" i="1"/>
  <c r="T9" i="1"/>
  <c r="T10" i="1"/>
  <c r="T11" i="1"/>
  <c r="T12" i="1"/>
  <c r="T4" i="1"/>
  <c r="U4" i="1" s="1"/>
  <c r="W5" i="1" s="1"/>
  <c r="S5" i="1"/>
  <c r="S6" i="1"/>
  <c r="S7" i="1"/>
  <c r="S8" i="1"/>
  <c r="S9" i="1"/>
  <c r="S10" i="1"/>
  <c r="S11" i="1"/>
  <c r="S12" i="1"/>
  <c r="H19" i="1"/>
  <c r="H20" i="1"/>
  <c r="H21" i="1"/>
  <c r="H22" i="1"/>
  <c r="H23" i="1"/>
  <c r="H24" i="1"/>
  <c r="H25" i="1"/>
  <c r="I25" i="1" s="1"/>
  <c r="H18" i="1"/>
  <c r="I18" i="1" s="1"/>
  <c r="F13" i="2" l="1"/>
  <c r="F14" i="2"/>
  <c r="F16" i="2"/>
  <c r="F17" i="2"/>
  <c r="F15" i="2"/>
  <c r="F18" i="2"/>
  <c r="I23" i="1"/>
  <c r="I20" i="1"/>
  <c r="I22" i="1"/>
  <c r="I21" i="1"/>
  <c r="I19" i="1"/>
  <c r="I24" i="1"/>
</calcChain>
</file>

<file path=xl/sharedStrings.xml><?xml version="1.0" encoding="utf-8"?>
<sst xmlns="http://schemas.openxmlformats.org/spreadsheetml/2006/main" count="32" uniqueCount="16">
  <si>
    <t>Temperature(｡C)</t>
  </si>
  <si>
    <t>Conc.
(mg/mL)</t>
  </si>
  <si>
    <t xml:space="preserve">avg </t>
  </si>
  <si>
    <t xml:space="preserve">avg - blank </t>
  </si>
  <si>
    <t>a</t>
  </si>
  <si>
    <t>b</t>
  </si>
  <si>
    <t>c</t>
  </si>
  <si>
    <t>protein mg/ml</t>
  </si>
  <si>
    <t>Standard curve</t>
  </si>
  <si>
    <t>Std</t>
  </si>
  <si>
    <t>y = ax*x +bx+c</t>
  </si>
  <si>
    <t>Absorbance = 650</t>
  </si>
  <si>
    <t>Sample ID</t>
  </si>
  <si>
    <t>Average Protein (mg/mL)</t>
  </si>
  <si>
    <t>Temperature(¡C)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</si>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</sst>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hair">
        <color rgb="FF3F3F3F"/>
      </bottom>
      <diagonal/>
    </border>
    <border>
      <left style="thin">
        <color indexed="64"/>
      </left>
      <right style="thin">
        <color indexed="64"/>
      </right>
      <top style="hair">
        <color rgb="FF3F3F3F"/>
      </top>
      <bottom style="hair">
        <color rgb="FF3F3F3F"/>
      </bottom>
      <diagonal/>
    </border>
    <border>
      <left style="thin">
        <color indexed="64"/>
      </left>
      <right style="thin">
        <color indexed="64"/>
      </right>
      <top style="hair">
        <color rgb="FF3F3F3F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7" borderId="5" xfId="13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'23.09.21 Round 1'!$I$18:$I$25</c:f>
              <c:numCache>
                <c:formatCode>General</c:formatCode>
                <c:ptCount val="8"/>
                <c:pt idx="0">
                  <c:v>0.57930000000000004</c:v>
                </c:pt>
                <c:pt idx="1">
                  <c:v>0.45679999999999993</c:v>
                </c:pt>
                <c:pt idx="2">
                  <c:v>0.32334999999999997</c:v>
                </c:pt>
                <c:pt idx="3">
                  <c:v>0.26619999999999999</c:v>
                </c:pt>
                <c:pt idx="4">
                  <c:v>0.18609999999999999</c:v>
                </c:pt>
                <c:pt idx="5">
                  <c:v>0.10265000000000001</c:v>
                </c:pt>
                <c:pt idx="6">
                  <c:v>5.6950000000000001E-2</c:v>
                </c:pt>
                <c:pt idx="7">
                  <c:v>0</c:v>
                </c:pt>
              </c:numCache>
            </c:numRef>
          </c:xVal>
          <c:yVal>
            <c:numRef>
              <c:f>'23.09.21 Round 1'!$J$18:$J$25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1.5</c:v>
                </c:pt>
                <c:pt idx="4">
                  <c:v>1</c:v>
                </c:pt>
                <c:pt idx="5">
                  <c:v>0.5</c:v>
                </c:pt>
                <c:pt idx="6">
                  <c:v>0.25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B1-423F-A6BA-DE981E17F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805296"/>
        <c:axId val="606804880"/>
      </c:scatterChart>
      <c:valAx>
        <c:axId val="60680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804880"/>
        <c:crosses val="autoZero"/>
        <c:crossBetween val="midCat"/>
      </c:valAx>
      <c:valAx>
        <c:axId val="6068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Protein</a:t>
                </a:r>
                <a:r>
                  <a:rPr lang="en-GB" baseline="0"/>
                  <a:t> (mg/mL)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80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'20.10.21 Round 2+3'!$G$12</c:f>
              <c:strCache>
                <c:ptCount val="1"/>
                <c:pt idx="0">
                  <c:v>Conc.
(mg/mL)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'20.10.21 Round 2+3'!$F$13:$F$20</c:f>
              <c:numCache>
                <c:formatCode>General</c:formatCode>
                <c:ptCount val="8"/>
                <c:pt idx="0">
                  <c:v>0.60875000000000012</c:v>
                </c:pt>
                <c:pt idx="1">
                  <c:v>0.52289999999999992</c:v>
                </c:pt>
                <c:pt idx="2">
                  <c:v>0.36425000000000002</c:v>
                </c:pt>
                <c:pt idx="3">
                  <c:v>0.27099999999999996</c:v>
                </c:pt>
                <c:pt idx="4">
                  <c:v>0.19864999999999999</c:v>
                </c:pt>
                <c:pt idx="5">
                  <c:v>0.10865</c:v>
                </c:pt>
                <c:pt idx="6">
                  <c:v>5.9450000000000003E-2</c:v>
                </c:pt>
                <c:pt idx="7">
                  <c:v>0</c:v>
                </c:pt>
              </c:numCache>
            </c:numRef>
          </c:xVal>
          <c:yVal>
            <c:numRef>
              <c:f>'20.10.21 Round 2+3'!$G$13:$G$20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1.5</c:v>
                </c:pt>
                <c:pt idx="4">
                  <c:v>1</c:v>
                </c:pt>
                <c:pt idx="5">
                  <c:v>0.5</c:v>
                </c:pt>
                <c:pt idx="6">
                  <c:v>0.25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3F-4595-9875-F16000AA1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805296"/>
        <c:axId val="606804880"/>
      </c:scatterChart>
      <c:valAx>
        <c:axId val="60680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804880"/>
        <c:crosses val="autoZero"/>
        <c:crossBetween val="midCat"/>
      </c:valAx>
      <c:valAx>
        <c:axId val="6068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Protein</a:t>
                </a:r>
                <a:r>
                  <a:rPr lang="en-GB" baseline="0"/>
                  <a:t> (mg/mL)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80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27</xdr:row>
      <xdr:rowOff>76200</xdr:rowOff>
    </xdr:from>
    <xdr:to>
      <xdr:col>8</xdr:col>
      <xdr:colOff>95250</xdr:colOff>
      <xdr:row>41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21</xdr:row>
      <xdr:rowOff>76200</xdr:rowOff>
    </xdr:from>
    <xdr:to>
      <xdr:col>14</xdr:col>
      <xdr:colOff>57150</xdr:colOff>
      <xdr:row>35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4F96E-82B8-4F99-B781-0F36BB508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25"/>
  <sheetViews>
    <sheetView topLeftCell="C7" workbookViewId="0">
      <selection activeCell="J35" sqref="J35"/>
    </sheetView>
  </sheetViews>
  <sheetFormatPr defaultRowHeight="15" x14ac:dyDescent="0.25"/>
  <cols>
    <col min="2" max="2" width="11.7109375" customWidth="1"/>
    <col min="4" max="4" width="12" customWidth="1"/>
    <col min="6" max="6" width="11.42578125" customWidth="1"/>
    <col min="8" max="8" width="14" customWidth="1"/>
    <col min="9" max="9" width="12.7109375" customWidth="1"/>
    <col min="15" max="15" width="17.28515625" bestFit="1" customWidth="1"/>
    <col min="16" max="18" width="17.28515625" customWidth="1"/>
    <col min="19" max="19" width="15.140625" customWidth="1"/>
    <col min="20" max="20" width="11" customWidth="1"/>
    <col min="21" max="21" width="21.7109375" customWidth="1"/>
  </cols>
  <sheetData>
    <row r="2" spans="2:23" x14ac:dyDescent="0.25">
      <c r="F2" t="s">
        <v>11</v>
      </c>
    </row>
    <row r="3" spans="2:23" x14ac:dyDescent="0.25">
      <c r="B3" t="s">
        <v>0</v>
      </c>
      <c r="C3" s="5" t="s">
        <v>8</v>
      </c>
      <c r="D3" s="5"/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P3" t="s">
        <v>12</v>
      </c>
      <c r="S3" t="s">
        <v>7</v>
      </c>
      <c r="T3" t="s">
        <v>7</v>
      </c>
      <c r="U3" t="s">
        <v>13</v>
      </c>
    </row>
    <row r="4" spans="2:23" x14ac:dyDescent="0.25">
      <c r="B4">
        <v>23.4</v>
      </c>
      <c r="C4">
        <v>0.64300000000000002</v>
      </c>
      <c r="D4">
        <v>0.64749999999999996</v>
      </c>
      <c r="P4">
        <v>0.1</v>
      </c>
      <c r="Q4">
        <v>0.74519999999999997</v>
      </c>
      <c r="R4">
        <v>0.7208</v>
      </c>
      <c r="S4">
        <f>$N$18*(Q4*Q4)+$N$19*(Q4)+$N$20</f>
        <v>5.612317758304</v>
      </c>
      <c r="T4">
        <f>$N$18*(R4*R4)+$N$19*(R4)+$N$20</f>
        <v>5.3666177712640009</v>
      </c>
      <c r="U4">
        <f>AVERAGE(S4:T4)</f>
        <v>5.4894677647840009</v>
      </c>
    </row>
    <row r="5" spans="2:23" x14ac:dyDescent="0.25">
      <c r="C5">
        <v>0.54679999999999995</v>
      </c>
      <c r="D5">
        <v>0.49869999999999998</v>
      </c>
      <c r="P5">
        <v>0.2</v>
      </c>
      <c r="Q5">
        <v>0.60619999999999996</v>
      </c>
      <c r="R5">
        <v>0.57879999999999998</v>
      </c>
      <c r="S5">
        <f t="shared" ref="S5:S12" si="0">$N$18*(Q5*Q5)+$N$19*(Q5)+$N$20</f>
        <v>4.267790546344</v>
      </c>
      <c r="T5">
        <f t="shared" ref="T5:T12" si="1">$N$18*(R5*R5)+$N$19*(R5)+$N$20</f>
        <v>4.0185414869439997</v>
      </c>
      <c r="U5">
        <f t="shared" ref="U5:U12" si="2">AVERAGE(S5:T5)</f>
        <v>4.1431660166439999</v>
      </c>
      <c r="W5">
        <f>AVERAGE(U4:U6)</f>
        <v>4.651602632847001</v>
      </c>
    </row>
    <row r="6" spans="2:23" x14ac:dyDescent="0.25">
      <c r="C6">
        <v>0.40679999999999999</v>
      </c>
      <c r="D6">
        <v>0.37180000000000002</v>
      </c>
      <c r="P6">
        <v>0.3</v>
      </c>
      <c r="Q6">
        <v>0.60009999999999997</v>
      </c>
      <c r="R6">
        <v>0.624</v>
      </c>
      <c r="S6">
        <f t="shared" si="0"/>
        <v>4.2118508966259993</v>
      </c>
      <c r="T6">
        <f t="shared" si="1"/>
        <v>4.4324973376000001</v>
      </c>
      <c r="U6">
        <f t="shared" si="2"/>
        <v>4.3221741171129997</v>
      </c>
    </row>
    <row r="7" spans="2:23" x14ac:dyDescent="0.25">
      <c r="C7">
        <v>0.33779999999999999</v>
      </c>
      <c r="D7">
        <v>0.32650000000000001</v>
      </c>
      <c r="F7">
        <v>0.74519999999999997</v>
      </c>
      <c r="G7">
        <v>0.60619999999999996</v>
      </c>
      <c r="H7">
        <v>0.60009999999999997</v>
      </c>
      <c r="I7">
        <v>0.78090000000000004</v>
      </c>
      <c r="J7">
        <v>0.7883</v>
      </c>
      <c r="K7">
        <v>0.75270000000000004</v>
      </c>
      <c r="P7">
        <v>2.1</v>
      </c>
      <c r="Q7">
        <v>0.78090000000000004</v>
      </c>
      <c r="R7">
        <v>0.78759999999999997</v>
      </c>
      <c r="S7">
        <f t="shared" si="0"/>
        <v>5.9792342851060001</v>
      </c>
      <c r="T7">
        <f t="shared" si="1"/>
        <v>6.0490790253759998</v>
      </c>
      <c r="U7">
        <f t="shared" si="2"/>
        <v>6.014156655241</v>
      </c>
      <c r="W7">
        <f>AVERAGE(U7:U9)</f>
        <v>5.9457956852389993</v>
      </c>
    </row>
    <row r="8" spans="2:23" x14ac:dyDescent="0.25">
      <c r="C8">
        <v>0.25290000000000001</v>
      </c>
      <c r="D8">
        <v>0.25119999999999998</v>
      </c>
      <c r="F8">
        <v>0.7208</v>
      </c>
      <c r="G8">
        <v>0.57879999999999998</v>
      </c>
      <c r="H8">
        <v>0.624</v>
      </c>
      <c r="I8">
        <v>0.78759999999999997</v>
      </c>
      <c r="J8">
        <v>0.80549999999999999</v>
      </c>
      <c r="K8">
        <v>0.75029999999999997</v>
      </c>
      <c r="P8">
        <v>2.2000000000000002</v>
      </c>
      <c r="Q8">
        <v>0.7883</v>
      </c>
      <c r="R8">
        <v>0.80549999999999999</v>
      </c>
      <c r="S8">
        <f t="shared" si="0"/>
        <v>6.0563941733140005</v>
      </c>
      <c r="T8">
        <f t="shared" si="1"/>
        <v>6.2372038736500004</v>
      </c>
      <c r="U8">
        <f t="shared" si="2"/>
        <v>6.146799023482</v>
      </c>
    </row>
    <row r="9" spans="2:23" x14ac:dyDescent="0.25">
      <c r="C9">
        <v>0.1694</v>
      </c>
      <c r="D9">
        <v>0.1678</v>
      </c>
      <c r="P9">
        <v>2.2999999999999998</v>
      </c>
      <c r="Q9">
        <v>0.75270000000000004</v>
      </c>
      <c r="R9">
        <v>0.75029999999999997</v>
      </c>
      <c r="S9">
        <f t="shared" si="0"/>
        <v>5.6886687223540013</v>
      </c>
      <c r="T9">
        <f t="shared" si="1"/>
        <v>5.6641940316339996</v>
      </c>
      <c r="U9">
        <f t="shared" si="2"/>
        <v>5.6764313769940005</v>
      </c>
      <c r="W9">
        <f>AVERAGE(U10:U12)</f>
        <v>5.8908390755749993</v>
      </c>
    </row>
    <row r="10" spans="2:23" x14ac:dyDescent="0.25">
      <c r="C10">
        <v>0.12239999999999999</v>
      </c>
      <c r="D10">
        <v>0.1234</v>
      </c>
      <c r="H10">
        <v>0.80579999999999996</v>
      </c>
      <c r="I10">
        <v>0.81840000000000002</v>
      </c>
      <c r="J10">
        <v>0.73960000000000004</v>
      </c>
      <c r="P10">
        <v>8.1</v>
      </c>
      <c r="Q10">
        <v>0.80579999999999996</v>
      </c>
      <c r="R10">
        <v>0.73509999999999998</v>
      </c>
      <c r="S10">
        <f t="shared" si="0"/>
        <v>6.2403757098639998</v>
      </c>
      <c r="T10">
        <f t="shared" si="1"/>
        <v>5.5101139718260006</v>
      </c>
      <c r="U10">
        <f t="shared" si="2"/>
        <v>5.8752448408450002</v>
      </c>
    </row>
    <row r="11" spans="2:23" x14ac:dyDescent="0.25">
      <c r="C11">
        <v>6.4199999999999993E-2</v>
      </c>
      <c r="D11">
        <v>6.7699999999999996E-2</v>
      </c>
      <c r="H11">
        <v>0.73509999999999998</v>
      </c>
      <c r="I11">
        <v>0.81220000000000003</v>
      </c>
      <c r="J11">
        <v>0.7198</v>
      </c>
      <c r="P11">
        <v>8.1999999999999993</v>
      </c>
      <c r="Q11">
        <v>0.81840000000000002</v>
      </c>
      <c r="R11">
        <v>0.81220000000000003</v>
      </c>
      <c r="S11">
        <f t="shared" si="0"/>
        <v>6.3741556418560004</v>
      </c>
      <c r="T11">
        <f t="shared" si="1"/>
        <v>6.3081900253840004</v>
      </c>
      <c r="U11">
        <f t="shared" si="2"/>
        <v>6.3411728336199999</v>
      </c>
    </row>
    <row r="12" spans="2:23" x14ac:dyDescent="0.25">
      <c r="P12">
        <v>8.3000000000000007</v>
      </c>
      <c r="Q12">
        <v>0.73960000000000004</v>
      </c>
      <c r="R12">
        <v>0.7198</v>
      </c>
      <c r="S12">
        <f t="shared" si="0"/>
        <v>5.5555630548160009</v>
      </c>
      <c r="T12">
        <f t="shared" si="1"/>
        <v>5.356636049704</v>
      </c>
      <c r="U12">
        <f t="shared" si="2"/>
        <v>5.4560995522600004</v>
      </c>
    </row>
    <row r="16" spans="2:23" x14ac:dyDescent="0.25">
      <c r="N16" t="s">
        <v>10</v>
      </c>
    </row>
    <row r="17" spans="6:14" ht="25.5" x14ac:dyDescent="0.25">
      <c r="F17" t="s">
        <v>9</v>
      </c>
      <c r="G17" t="s">
        <v>9</v>
      </c>
      <c r="H17" t="s">
        <v>2</v>
      </c>
      <c r="I17" t="s">
        <v>3</v>
      </c>
      <c r="J17" s="1" t="s">
        <v>1</v>
      </c>
    </row>
    <row r="18" spans="6:14" x14ac:dyDescent="0.25">
      <c r="F18">
        <v>0.64300000000000002</v>
      </c>
      <c r="G18">
        <v>0.64749999999999996</v>
      </c>
      <c r="H18">
        <f>AVERAGE(F18:G18)</f>
        <v>0.64524999999999999</v>
      </c>
      <c r="I18">
        <f>H18-$H$25</f>
        <v>0.57930000000000004</v>
      </c>
      <c r="J18" s="2">
        <v>4</v>
      </c>
      <c r="M18" t="s">
        <v>4</v>
      </c>
      <c r="N18">
        <v>3.4626000000000001</v>
      </c>
    </row>
    <row r="19" spans="6:14" x14ac:dyDescent="0.25">
      <c r="F19">
        <v>0.54679999999999995</v>
      </c>
      <c r="G19">
        <v>0.49869999999999998</v>
      </c>
      <c r="H19">
        <f t="shared" ref="H19:H25" si="3">AVERAGE(F19:G19)</f>
        <v>0.52274999999999994</v>
      </c>
      <c r="I19">
        <f t="shared" ref="I19:I25" si="4">H19-$H$25</f>
        <v>0.45679999999999993</v>
      </c>
      <c r="J19" s="3">
        <v>3</v>
      </c>
      <c r="M19" t="s">
        <v>5</v>
      </c>
      <c r="N19">
        <v>4.9935</v>
      </c>
    </row>
    <row r="20" spans="6:14" x14ac:dyDescent="0.25">
      <c r="F20">
        <v>0.40679999999999999</v>
      </c>
      <c r="G20">
        <v>0.37180000000000002</v>
      </c>
      <c r="H20">
        <f t="shared" si="3"/>
        <v>0.38929999999999998</v>
      </c>
      <c r="I20">
        <f t="shared" si="4"/>
        <v>0.32334999999999997</v>
      </c>
      <c r="J20" s="3">
        <v>2</v>
      </c>
      <c r="M20" t="s">
        <v>6</v>
      </c>
      <c r="N20">
        <v>-3.1699999999999999E-2</v>
      </c>
    </row>
    <row r="21" spans="6:14" x14ac:dyDescent="0.25">
      <c r="F21">
        <v>0.33779999999999999</v>
      </c>
      <c r="G21">
        <v>0.32650000000000001</v>
      </c>
      <c r="H21">
        <f t="shared" si="3"/>
        <v>0.33215</v>
      </c>
      <c r="I21">
        <f t="shared" si="4"/>
        <v>0.26619999999999999</v>
      </c>
      <c r="J21" s="3">
        <v>1.5</v>
      </c>
    </row>
    <row r="22" spans="6:14" x14ac:dyDescent="0.25">
      <c r="F22">
        <v>0.25290000000000001</v>
      </c>
      <c r="G22">
        <v>0.25119999999999998</v>
      </c>
      <c r="H22">
        <f t="shared" si="3"/>
        <v>0.25205</v>
      </c>
      <c r="I22">
        <f t="shared" si="4"/>
        <v>0.18609999999999999</v>
      </c>
      <c r="J22" s="3">
        <v>1</v>
      </c>
    </row>
    <row r="23" spans="6:14" x14ac:dyDescent="0.25">
      <c r="F23">
        <v>0.1694</v>
      </c>
      <c r="G23">
        <v>0.1678</v>
      </c>
      <c r="H23">
        <f t="shared" si="3"/>
        <v>0.1686</v>
      </c>
      <c r="I23">
        <f t="shared" si="4"/>
        <v>0.10265000000000001</v>
      </c>
      <c r="J23" s="3">
        <v>0.5</v>
      </c>
    </row>
    <row r="24" spans="6:14" x14ac:dyDescent="0.25">
      <c r="F24">
        <v>0.12239999999999999</v>
      </c>
      <c r="G24">
        <v>0.1234</v>
      </c>
      <c r="H24">
        <f t="shared" si="3"/>
        <v>0.1229</v>
      </c>
      <c r="I24">
        <f t="shared" si="4"/>
        <v>5.6950000000000001E-2</v>
      </c>
      <c r="J24" s="3">
        <v>0.25</v>
      </c>
    </row>
    <row r="25" spans="6:14" x14ac:dyDescent="0.25">
      <c r="F25">
        <v>6.4199999999999993E-2</v>
      </c>
      <c r="G25">
        <v>6.7699999999999996E-2</v>
      </c>
      <c r="H25">
        <f t="shared" si="3"/>
        <v>6.5949999999999995E-2</v>
      </c>
      <c r="I25">
        <f t="shared" si="4"/>
        <v>0</v>
      </c>
      <c r="J25" s="4">
        <v>0</v>
      </c>
    </row>
  </sheetData>
  <mergeCells count="1">
    <mergeCell ref="C3:D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9A20-620B-4B9D-A4A4-854EF53285DC}">
  <dimension ref="B1:W22"/>
  <sheetViews>
    <sheetView tabSelected="1" topLeftCell="P1" workbookViewId="0">
      <selection activeCell="S4" sqref="S4"/>
    </sheetView>
  </sheetViews>
  <sheetFormatPr defaultRowHeight="15" x14ac:dyDescent="0.25"/>
  <cols>
    <col min="5" max="5" width="12.5703125" customWidth="1"/>
    <col min="6" max="6" width="15.85546875" customWidth="1"/>
    <col min="15" max="15" width="20.7109375" customWidth="1"/>
    <col min="16" max="16" width="10.5703125" customWidth="1"/>
    <col min="19" max="19" width="18.5703125" customWidth="1"/>
    <col min="20" max="20" width="15.42578125" customWidth="1"/>
    <col min="21" max="21" width="26.140625" customWidth="1"/>
  </cols>
  <sheetData>
    <row r="1" spans="2:23" x14ac:dyDescent="0.25">
      <c r="F1" t="s">
        <v>11</v>
      </c>
    </row>
    <row r="2" spans="2:23" x14ac:dyDescent="0.25">
      <c r="B2" t="s">
        <v>14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</row>
    <row r="3" spans="2:23" x14ac:dyDescent="0.25">
      <c r="B3">
        <v>22.3</v>
      </c>
      <c r="D3">
        <v>0.66180000000000005</v>
      </c>
      <c r="E3">
        <v>0.60780000000000001</v>
      </c>
      <c r="F3">
        <v>0.44140000000000001</v>
      </c>
      <c r="G3">
        <v>0.3337</v>
      </c>
      <c r="H3">
        <v>0.2606</v>
      </c>
      <c r="I3">
        <v>0.1729</v>
      </c>
      <c r="J3">
        <v>0.12590000000000001</v>
      </c>
      <c r="K3">
        <v>6.3100000000000003E-2</v>
      </c>
      <c r="P3" t="s">
        <v>12</v>
      </c>
      <c r="S3" t="s">
        <v>7</v>
      </c>
      <c r="T3" t="s">
        <v>7</v>
      </c>
      <c r="U3" t="s">
        <v>13</v>
      </c>
    </row>
    <row r="4" spans="2:23" x14ac:dyDescent="0.25">
      <c r="D4">
        <v>0.68359999999999999</v>
      </c>
      <c r="E4">
        <v>0.56589999999999996</v>
      </c>
      <c r="F4">
        <v>0.41499999999999998</v>
      </c>
      <c r="G4">
        <v>0.3362</v>
      </c>
      <c r="H4">
        <v>0.2646</v>
      </c>
      <c r="I4">
        <v>0.17230000000000001</v>
      </c>
      <c r="J4">
        <v>0.12089999999999999</v>
      </c>
      <c r="K4">
        <v>6.4799999999999996E-2</v>
      </c>
      <c r="P4">
        <v>0.4</v>
      </c>
      <c r="Q4">
        <v>1.0389999999999999</v>
      </c>
      <c r="R4">
        <v>0.99399999999999999</v>
      </c>
      <c r="S4">
        <f>$J$14*(Q4*Q4)+$J$15*(Q4)+$J$16</f>
        <v>8.2244580715999991</v>
      </c>
      <c r="T4">
        <f>$J$14*(R4*R4)+$J$15*(R4)+$J$16</f>
        <v>7.7085498655999993</v>
      </c>
      <c r="U4">
        <f>AVERAGE(S4:T4)</f>
        <v>7.9665039685999997</v>
      </c>
    </row>
    <row r="5" spans="2:23" x14ac:dyDescent="0.25">
      <c r="D5">
        <v>1.0389999999999999</v>
      </c>
      <c r="E5">
        <v>0.91379999999999995</v>
      </c>
      <c r="F5">
        <v>0.89200000000000002</v>
      </c>
      <c r="G5">
        <v>0.77349999999999997</v>
      </c>
      <c r="H5">
        <v>0.8367</v>
      </c>
      <c r="I5">
        <v>0.84599999999999997</v>
      </c>
      <c r="J5">
        <v>1.0598000000000001</v>
      </c>
      <c r="K5">
        <v>1.036</v>
      </c>
      <c r="L5">
        <v>0.94579999999999997</v>
      </c>
      <c r="P5">
        <v>0.5</v>
      </c>
      <c r="Q5">
        <v>0.91379999999999995</v>
      </c>
      <c r="R5">
        <v>0.74760000000000004</v>
      </c>
      <c r="S5">
        <f t="shared" ref="S5:S21" si="0">$J$14*(Q5*Q5)+$J$15*(Q5)+$J$16</f>
        <v>6.8250297030239988</v>
      </c>
      <c r="T5">
        <f t="shared" ref="T5:T21" si="1">$J$14*(R5*R5)+$J$15*(R5)+$J$16</f>
        <v>5.140684538496</v>
      </c>
      <c r="U5">
        <f t="shared" ref="U5:U21" si="2">AVERAGE(S5:T5)</f>
        <v>5.9828571207599994</v>
      </c>
    </row>
    <row r="6" spans="2:23" x14ac:dyDescent="0.25">
      <c r="D6">
        <v>0.99399999999999999</v>
      </c>
      <c r="E6">
        <v>0.74760000000000004</v>
      </c>
      <c r="F6">
        <v>0.71309999999999996</v>
      </c>
      <c r="G6">
        <v>0.62209999999999999</v>
      </c>
      <c r="H6">
        <v>0.79010000000000002</v>
      </c>
      <c r="I6">
        <v>0.70409999999999995</v>
      </c>
      <c r="J6">
        <v>1.0871</v>
      </c>
      <c r="K6">
        <v>1.0699000000000001</v>
      </c>
      <c r="L6">
        <v>1.0185</v>
      </c>
      <c r="P6">
        <v>0.6</v>
      </c>
      <c r="Q6">
        <v>0.89200000000000002</v>
      </c>
      <c r="R6">
        <v>0.71309999999999996</v>
      </c>
      <c r="S6">
        <f t="shared" si="0"/>
        <v>6.5928304543999996</v>
      </c>
      <c r="T6">
        <f t="shared" si="1"/>
        <v>4.8158317891559994</v>
      </c>
      <c r="U6">
        <f t="shared" si="2"/>
        <v>5.7043311217779991</v>
      </c>
    </row>
    <row r="7" spans="2:23" x14ac:dyDescent="0.25">
      <c r="D7">
        <v>0.85640000000000005</v>
      </c>
      <c r="E7">
        <v>0.84389999999999998</v>
      </c>
      <c r="F7">
        <v>0.53520000000000001</v>
      </c>
      <c r="G7">
        <v>0.97299999999999998</v>
      </c>
      <c r="H7">
        <v>1.0512999999999999</v>
      </c>
      <c r="I7">
        <v>1.3879999999999999</v>
      </c>
      <c r="J7">
        <v>0.9667</v>
      </c>
      <c r="K7">
        <v>0.92449999999999999</v>
      </c>
      <c r="L7">
        <v>0.91639999999999999</v>
      </c>
      <c r="P7">
        <v>0.7</v>
      </c>
      <c r="Q7">
        <v>0.77349999999999997</v>
      </c>
      <c r="R7">
        <v>0.62209999999999999</v>
      </c>
      <c r="S7">
        <f t="shared" si="0"/>
        <v>5.3901592840999992</v>
      </c>
      <c r="T7">
        <f t="shared" si="1"/>
        <v>3.9998546344359993</v>
      </c>
      <c r="U7">
        <f t="shared" si="2"/>
        <v>4.6950069592679995</v>
      </c>
      <c r="W7">
        <f>AVERAGE(U4:U9)</f>
        <v>5.9262977661273331</v>
      </c>
    </row>
    <row r="8" spans="2:23" x14ac:dyDescent="0.25">
      <c r="D8">
        <v>0.96479999999999999</v>
      </c>
      <c r="E8">
        <v>0.94789999999999996</v>
      </c>
      <c r="F8">
        <v>0.94520000000000004</v>
      </c>
      <c r="G8">
        <v>1.0408999999999999</v>
      </c>
      <c r="H8">
        <v>1.1508</v>
      </c>
      <c r="I8">
        <v>1.1242000000000001</v>
      </c>
      <c r="J8">
        <v>1.0639000000000001</v>
      </c>
      <c r="K8">
        <v>1.0218</v>
      </c>
      <c r="L8">
        <v>1.0589</v>
      </c>
      <c r="P8">
        <v>0.8</v>
      </c>
      <c r="Q8">
        <v>0.8367</v>
      </c>
      <c r="R8">
        <v>0.79010000000000002</v>
      </c>
      <c r="S8">
        <f t="shared" si="0"/>
        <v>6.0190733494439996</v>
      </c>
      <c r="T8">
        <f t="shared" si="1"/>
        <v>5.5525797025959998</v>
      </c>
      <c r="U8">
        <f t="shared" si="2"/>
        <v>5.7858265260199992</v>
      </c>
    </row>
    <row r="9" spans="2:23" x14ac:dyDescent="0.25">
      <c r="D9">
        <v>0.64690000000000003</v>
      </c>
      <c r="E9">
        <v>0.73460000000000003</v>
      </c>
      <c r="F9">
        <v>0.61660000000000004</v>
      </c>
      <c r="G9">
        <v>0.55940000000000001</v>
      </c>
      <c r="H9">
        <v>0.63570000000000004</v>
      </c>
      <c r="I9">
        <v>0.53969999999999996</v>
      </c>
      <c r="J9">
        <v>0.5474</v>
      </c>
      <c r="K9">
        <v>0.66800000000000004</v>
      </c>
      <c r="L9">
        <v>0.62480000000000002</v>
      </c>
      <c r="P9">
        <v>0.9</v>
      </c>
      <c r="Q9">
        <v>0.84599999999999997</v>
      </c>
      <c r="R9">
        <v>0.70409999999999995</v>
      </c>
      <c r="S9">
        <f t="shared" si="0"/>
        <v>6.114032793599999</v>
      </c>
      <c r="T9">
        <f t="shared" si="1"/>
        <v>4.7324890070759986</v>
      </c>
      <c r="U9">
        <f t="shared" si="2"/>
        <v>5.4232609003379988</v>
      </c>
    </row>
    <row r="10" spans="2:23" x14ac:dyDescent="0.25">
      <c r="D10">
        <v>0.65549999999999997</v>
      </c>
      <c r="E10">
        <v>0.71609999999999996</v>
      </c>
      <c r="F10">
        <v>0.55740000000000001</v>
      </c>
      <c r="G10">
        <v>0.62490000000000001</v>
      </c>
      <c r="H10">
        <v>0.56740000000000002</v>
      </c>
      <c r="I10">
        <v>0.57050000000000001</v>
      </c>
      <c r="J10">
        <v>0.62270000000000003</v>
      </c>
      <c r="K10">
        <v>0.68289999999999995</v>
      </c>
      <c r="L10">
        <v>0.61839999999999995</v>
      </c>
      <c r="P10">
        <v>2.4</v>
      </c>
      <c r="Q10">
        <v>1.0598000000000001</v>
      </c>
      <c r="R10">
        <v>1.0871</v>
      </c>
      <c r="S10">
        <f t="shared" si="0"/>
        <v>8.467821492784001</v>
      </c>
      <c r="T10">
        <f t="shared" si="1"/>
        <v>8.7919364632360004</v>
      </c>
      <c r="U10">
        <f t="shared" si="2"/>
        <v>8.6298789780100016</v>
      </c>
      <c r="W10">
        <f>AVERAGE(U10:U15)</f>
        <v>7.2106408021483341</v>
      </c>
    </row>
    <row r="11" spans="2:23" x14ac:dyDescent="0.25">
      <c r="P11">
        <v>2.5</v>
      </c>
      <c r="Q11">
        <v>1.036</v>
      </c>
      <c r="R11">
        <v>1.0699000000000001</v>
      </c>
      <c r="S11">
        <f t="shared" si="0"/>
        <v>8.1896131616000005</v>
      </c>
      <c r="T11">
        <f t="shared" si="1"/>
        <v>8.5871103113960014</v>
      </c>
      <c r="U11">
        <f t="shared" si="2"/>
        <v>8.3883617364980019</v>
      </c>
    </row>
    <row r="12" spans="2:23" ht="25.5" x14ac:dyDescent="0.25">
      <c r="C12" t="s">
        <v>9</v>
      </c>
      <c r="D12" t="s">
        <v>9</v>
      </c>
      <c r="E12" t="s">
        <v>2</v>
      </c>
      <c r="F12" t="s">
        <v>3</v>
      </c>
      <c r="G12" s="1" t="s">
        <v>1</v>
      </c>
      <c r="J12" t="s">
        <v>10</v>
      </c>
      <c r="P12">
        <v>2.6</v>
      </c>
      <c r="Q12">
        <v>0.94579999999999997</v>
      </c>
      <c r="R12">
        <v>1.0185</v>
      </c>
      <c r="S12">
        <f t="shared" si="0"/>
        <v>7.1720352761439985</v>
      </c>
      <c r="T12">
        <f t="shared" si="1"/>
        <v>7.9876353680999994</v>
      </c>
      <c r="U12">
        <f t="shared" si="2"/>
        <v>7.5798353221219994</v>
      </c>
    </row>
    <row r="13" spans="2:23" x14ac:dyDescent="0.25">
      <c r="C13">
        <v>0.66180000000000005</v>
      </c>
      <c r="D13">
        <v>0.68359999999999999</v>
      </c>
      <c r="E13">
        <f>AVERAGE(C13:D13)</f>
        <v>0.67270000000000008</v>
      </c>
      <c r="F13">
        <f t="shared" ref="F13:F20" si="3">E13-$E$20</f>
        <v>0.60875000000000012</v>
      </c>
      <c r="G13" s="2">
        <v>4</v>
      </c>
      <c r="P13">
        <v>2.7</v>
      </c>
      <c r="Q13">
        <v>0.85640000000000005</v>
      </c>
      <c r="R13">
        <v>0.96479999999999999</v>
      </c>
      <c r="S13">
        <f t="shared" si="0"/>
        <v>6.2209573884160001</v>
      </c>
      <c r="T13">
        <f t="shared" si="1"/>
        <v>7.381538467583999</v>
      </c>
      <c r="U13">
        <f t="shared" si="2"/>
        <v>6.8012479279999996</v>
      </c>
    </row>
    <row r="14" spans="2:23" x14ac:dyDescent="0.25">
      <c r="C14">
        <v>0.60780000000000001</v>
      </c>
      <c r="D14">
        <v>0.56589999999999996</v>
      </c>
      <c r="E14">
        <f t="shared" ref="E14:E20" si="4">AVERAGE(C14:D14)</f>
        <v>0.58684999999999998</v>
      </c>
      <c r="F14">
        <f t="shared" si="3"/>
        <v>0.52289999999999992</v>
      </c>
      <c r="G14" s="3">
        <v>3</v>
      </c>
      <c r="I14" t="s">
        <v>4</v>
      </c>
      <c r="J14">
        <v>3.5796000000000001</v>
      </c>
      <c r="P14">
        <v>2.8</v>
      </c>
      <c r="Q14">
        <v>0.84389999999999998</v>
      </c>
      <c r="R14">
        <v>0.94789999999999996</v>
      </c>
      <c r="S14">
        <f t="shared" si="0"/>
        <v>6.0925362149159996</v>
      </c>
      <c r="T14">
        <f t="shared" si="1"/>
        <v>7.1950638520359993</v>
      </c>
      <c r="U14">
        <f t="shared" si="2"/>
        <v>6.6438000334759995</v>
      </c>
    </row>
    <row r="15" spans="2:23" x14ac:dyDescent="0.25">
      <c r="C15">
        <v>0.44140000000000001</v>
      </c>
      <c r="D15">
        <v>0.41499999999999998</v>
      </c>
      <c r="E15">
        <f t="shared" si="4"/>
        <v>0.42820000000000003</v>
      </c>
      <c r="F15">
        <f t="shared" si="3"/>
        <v>0.36425000000000002</v>
      </c>
      <c r="G15" s="3">
        <v>2</v>
      </c>
      <c r="I15" t="s">
        <v>5</v>
      </c>
      <c r="J15">
        <v>4.1872999999999996</v>
      </c>
      <c r="P15">
        <v>2.9</v>
      </c>
      <c r="Q15">
        <v>0.53520000000000001</v>
      </c>
      <c r="R15">
        <v>0.94520000000000004</v>
      </c>
      <c r="S15">
        <f t="shared" si="0"/>
        <v>3.2759801475839998</v>
      </c>
      <c r="T15">
        <f t="shared" si="1"/>
        <v>7.1654614819839999</v>
      </c>
      <c r="U15">
        <f t="shared" si="2"/>
        <v>5.2207208147840003</v>
      </c>
      <c r="W15">
        <f>AVERAGE(U16:U21)</f>
        <v>8.4841509437819997</v>
      </c>
    </row>
    <row r="16" spans="2:23" x14ac:dyDescent="0.25">
      <c r="C16">
        <v>0.3337</v>
      </c>
      <c r="D16">
        <v>0.3362</v>
      </c>
      <c r="E16">
        <f t="shared" si="4"/>
        <v>0.33494999999999997</v>
      </c>
      <c r="F16">
        <f t="shared" si="3"/>
        <v>0.27099999999999996</v>
      </c>
      <c r="G16" s="3">
        <v>1.5</v>
      </c>
      <c r="I16" t="s">
        <v>6</v>
      </c>
      <c r="J16">
        <v>9.5999999999999992E-3</v>
      </c>
      <c r="P16">
        <v>8.4</v>
      </c>
      <c r="Q16">
        <v>0.97299999999999998</v>
      </c>
      <c r="R16">
        <v>1.0408999999999999</v>
      </c>
      <c r="S16">
        <f t="shared" si="0"/>
        <v>7.4727540283999998</v>
      </c>
      <c r="T16">
        <f t="shared" si="1"/>
        <v>8.2465598406759995</v>
      </c>
      <c r="U16">
        <f t="shared" si="2"/>
        <v>7.8596569345380001</v>
      </c>
    </row>
    <row r="17" spans="3:23" x14ac:dyDescent="0.25">
      <c r="C17">
        <v>0.2606</v>
      </c>
      <c r="D17">
        <v>0.2646</v>
      </c>
      <c r="E17">
        <f t="shared" si="4"/>
        <v>0.2626</v>
      </c>
      <c r="F17">
        <f t="shared" si="3"/>
        <v>0.19864999999999999</v>
      </c>
      <c r="G17" s="3">
        <v>1</v>
      </c>
      <c r="P17">
        <v>8.5</v>
      </c>
      <c r="Q17">
        <v>1.0512999999999999</v>
      </c>
      <c r="R17">
        <v>1.1508</v>
      </c>
      <c r="S17">
        <f t="shared" si="0"/>
        <v>8.3679958475239999</v>
      </c>
      <c r="T17">
        <f t="shared" si="1"/>
        <v>9.5689545949440014</v>
      </c>
      <c r="U17">
        <f t="shared" si="2"/>
        <v>8.9684752212340015</v>
      </c>
    </row>
    <row r="18" spans="3:23" x14ac:dyDescent="0.25">
      <c r="C18">
        <v>0.1729</v>
      </c>
      <c r="D18">
        <v>0.17230000000000001</v>
      </c>
      <c r="E18">
        <f t="shared" si="4"/>
        <v>0.1726</v>
      </c>
      <c r="F18">
        <f t="shared" si="3"/>
        <v>0.10865</v>
      </c>
      <c r="G18" s="3">
        <v>0.5</v>
      </c>
      <c r="P18">
        <v>8.6</v>
      </c>
      <c r="Q18">
        <v>1.3879999999999999</v>
      </c>
      <c r="R18">
        <v>1.1242000000000001</v>
      </c>
      <c r="S18">
        <f t="shared" si="0"/>
        <v>12.7178293024</v>
      </c>
      <c r="T18">
        <f t="shared" si="1"/>
        <v>9.240952920944002</v>
      </c>
      <c r="U18">
        <f t="shared" si="2"/>
        <v>10.979391111672001</v>
      </c>
    </row>
    <row r="19" spans="3:23" x14ac:dyDescent="0.25">
      <c r="C19">
        <v>0.12590000000000001</v>
      </c>
      <c r="D19">
        <v>0.12089999999999999</v>
      </c>
      <c r="E19">
        <f t="shared" si="4"/>
        <v>0.12340000000000001</v>
      </c>
      <c r="F19">
        <f t="shared" si="3"/>
        <v>5.9450000000000003E-2</v>
      </c>
      <c r="G19" s="3">
        <v>0.25</v>
      </c>
      <c r="P19">
        <v>8.6999999999999993</v>
      </c>
      <c r="Q19">
        <v>0.9667</v>
      </c>
      <c r="R19">
        <v>1.0639000000000001</v>
      </c>
      <c r="S19">
        <f t="shared" si="0"/>
        <v>7.4026309326439987</v>
      </c>
      <c r="T19">
        <f t="shared" si="1"/>
        <v>8.5161576085160018</v>
      </c>
      <c r="U19">
        <f t="shared" si="2"/>
        <v>7.9593942705800007</v>
      </c>
    </row>
    <row r="20" spans="3:23" x14ac:dyDescent="0.25">
      <c r="C20">
        <v>6.3100000000000003E-2</v>
      </c>
      <c r="D20">
        <v>6.4799999999999996E-2</v>
      </c>
      <c r="E20">
        <f t="shared" si="4"/>
        <v>6.3950000000000007E-2</v>
      </c>
      <c r="F20">
        <f t="shared" si="3"/>
        <v>0</v>
      </c>
      <c r="G20" s="4">
        <v>0</v>
      </c>
      <c r="P20">
        <v>8.8000000000000007</v>
      </c>
      <c r="Q20">
        <v>0.92449999999999999</v>
      </c>
      <c r="R20">
        <v>1.0218</v>
      </c>
      <c r="S20">
        <f t="shared" si="0"/>
        <v>6.9402438648999993</v>
      </c>
      <c r="T20">
        <f t="shared" si="1"/>
        <v>8.0255548691040008</v>
      </c>
      <c r="U20">
        <f t="shared" si="2"/>
        <v>7.4828993670020001</v>
      </c>
    </row>
    <row r="21" spans="3:23" x14ac:dyDescent="0.25">
      <c r="P21">
        <v>8.9</v>
      </c>
      <c r="Q21">
        <v>0.91639999999999999</v>
      </c>
      <c r="R21">
        <v>1.0589</v>
      </c>
      <c r="S21">
        <f t="shared" si="0"/>
        <v>6.8529502812159997</v>
      </c>
      <c r="T21">
        <f t="shared" si="1"/>
        <v>8.4572272341159991</v>
      </c>
      <c r="U21">
        <f t="shared" si="2"/>
        <v>7.6550887576659994</v>
      </c>
    </row>
    <row r="22" spans="3:23" x14ac:dyDescent="0.25">
      <c r="W22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23.09.21 Round 1</vt:lpstr>
      <vt:lpstr>20.10.21 Round 2+3</vt:lpstr>
    </vt:vector>
  </TitlesOfParts>
  <Company>MSDIT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 Cross</dc:creator>
  <cp:lastModifiedBy>Felix Westcott</cp:lastModifiedBy>
  <dcterms:created xsi:type="dcterms:W3CDTF">2021-09-23T10:37:29Z</dcterms:created>
  <dcterms:modified xsi:type="dcterms:W3CDTF">2021-12-01T13:12:02Z</dcterms:modified>
</cp:coreProperties>
</file>